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2027cf0b0549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月度换仓" sheetId="1" r:id="R64227a581b714854"/>
    <x:sheet xmlns:r="http://schemas.openxmlformats.org/officeDocument/2006/relationships" name="单币持仓" sheetId="2" r:id="Re681da68fa094f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0.00%;[Red](0.00%);&quot;–&quot;"/>
    <x:numFmt numFmtId="201" formatCode="0.00"/>
    <x:numFmt numFmtId="202" formatCode="yyyy-mm"/>
    <x:numFmt numFmtId="203" formatCode="0.0000"/>
    <x:numFmt numFmtId="204" formatCode="0"/>
    <x:numFmt numFmtId="205" formatCode="0.########"/>
    <x:numFmt numFmtId="206" formatCode="yyyy-mm-dd hh:mm"/>
    <x:numFmt numFmtId="207" formatCode="0%"/>
    <x:numFmt numFmtId="208" formatCode="#,##0.0000"/>
    <x:numFmt numFmtId="209" formatCode="#,##0.00;[Red](#,##0.00);&quot;–&quot;"/>
  </x:numFmts>
  <x:fonts count="6">
    <x:font>
      <x:sz val="11"/>
      <x:name val="Carlito"/>
    </x:font>
    <x:font>
      <x:sz val="10"/>
      <x:color rgb="FF243449"/>
      <x:name val="Arial"/>
    </x:font>
    <x:font>
      <x:b/>
      <x:sz val="16"/>
      <x:color rgb="FF213B5B"/>
      <x:name val="Arial"/>
    </x:font>
    <x:font>
      <x:sz val="10"/>
      <x:color rgb="FF64748B"/>
      <x:name val="Arial"/>
    </x:font>
    <x:font>
      <x:b/>
      <x:sz val="12"/>
      <x:color rgb="FF213B5B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13B5B"/>
      </x:patternFill>
    </x:fill>
    <x:fill>
      <x:patternFill patternType="solid">
        <x:fgColor rgb="FFF2F5F9"/>
      </x:patternFill>
    </x:fill>
    <x:fill>
      <x:patternFill patternType="solid">
        <x:fgColor rgb="FFFFFFFF"/>
      </x:patternFill>
    </x:fill>
    <x:fill>
      <x:patternFill patternType="solid">
        <x:fgColor rgb="FFFFF1CC"/>
      </x:patternFill>
    </x:fill>
  </x:fills>
  <x:borders count="1">
    <x:border/>
  </x:borders>
  <x:cellStyleXfs count="1">
    <x:xf numFmtId="0" fontId="0" fillId="0" borderId="0"/>
  </x:cellStyleXfs>
  <x:cellXfs count="5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horizontal="right" vertical="center"/>
    </x:xf>
    <x:xf numFmtId="204" fontId="1" fillId="0" borderId="0" xfId="0" applyNumberFormat="1" applyFont="1" applyFill="1" applyBorder="1" applyAlignment="1">
      <x:alignment horizontal="right"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horizontal="center" vertical="center"/>
    </x:xf>
    <x:xf numFmtId="202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vertical="center" wrapText="1"/>
    </x:xf>
    <x:xf numFmtId="203" fontId="1" fillId="3" borderId="0" xfId="0" applyNumberFormat="1" applyFont="1" applyFill="1" applyBorder="1" applyAlignment="1">
      <x:alignment horizontal="right" vertical="center"/>
    </x:xf>
    <x:xf numFmtId="204" fontId="1" fillId="3" borderId="0" xfId="0" applyNumberFormat="1" applyFont="1" applyFill="1" applyBorder="1" applyAlignment="1">
      <x:alignment horizontal="right" vertical="center"/>
    </x:xf>
    <x:xf numFmtId="202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horizontal="right" vertical="center"/>
    </x:xf>
    <x:xf numFmtId="0" fontId="1" fillId="4" borderId="0" xfId="0" applyNumberFormat="1" applyFont="1" applyFill="1" applyBorder="1" applyAlignment="1">
      <x:alignment vertical="center" wrapText="1"/>
    </x:xf>
    <x:xf numFmtId="203" fontId="1" fillId="4" borderId="0" xfId="0" applyNumberFormat="1" applyFont="1" applyFill="1" applyBorder="1" applyAlignment="1">
      <x:alignment horizontal="right" vertical="center"/>
    </x:xf>
    <x:xf numFmtId="204" fontId="1" fillId="4" borderId="0" xfId="0" applyNumberFormat="1" applyFont="1" applyFill="1" applyBorder="1" applyAlignment="1">
      <x:alignment horizontal="right" vertical="center"/>
    </x:xf>
    <x:xf numFmtId="0" fontId="1" fillId="5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207" fontId="1" fillId="0" borderId="0" xfId="0" applyNumberFormat="1" applyFont="1" applyFill="1" applyBorder="1" applyAlignment="1">
      <x:alignment vertical="center"/>
    </x:xf>
    <x:xf numFmtId="208" fontId="1" fillId="0" borderId="0" xfId="0" applyNumberFormat="1" applyFont="1" applyFill="1" applyBorder="1" applyAlignment="1">
      <x:alignment vertical="center"/>
    </x:xf>
    <x:xf numFmtId="209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5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6" fontId="1" fillId="3" borderId="0" xfId="0" applyNumberFormat="1" applyFont="1" applyFill="1" applyBorder="1" applyAlignment="1">
      <x:alignment vertical="center"/>
    </x:xf>
    <x:xf numFmtId="207" fontId="1" fillId="3" borderId="0" xfId="0" applyNumberFormat="1" applyFont="1" applyFill="1" applyBorder="1" applyAlignment="1">
      <x:alignment vertical="center"/>
    </x:xf>
    <x:xf numFmtId="208" fontId="1" fillId="3" borderId="0" xfId="0" applyNumberFormat="1" applyFont="1" applyFill="1" applyBorder="1" applyAlignment="1">
      <x:alignment vertical="center"/>
    </x:xf>
    <x:xf numFmtId="209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5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6" fontId="1" fillId="4" borderId="0" xfId="0" applyNumberFormat="1" applyFont="1" applyFill="1" applyBorder="1" applyAlignment="1">
      <x:alignment vertical="center"/>
    </x:xf>
    <x:xf numFmtId="207" fontId="1" fillId="4" borderId="0" xfId="0" applyNumberFormat="1" applyFont="1" applyFill="1" applyBorder="1" applyAlignment="1">
      <x:alignment vertical="center"/>
    </x:xf>
    <x:xf numFmtId="208" fontId="1" fillId="4" borderId="0" xfId="0" applyNumberFormat="1" applyFont="1" applyFill="1" applyBorder="1" applyAlignment="1">
      <x:alignment vertical="center"/>
    </x:xf>
    <x:xf numFmtId="209" fontId="1" fillId="4" borderId="0" xfId="0" applyNumberFormat="1" applyFont="1" applyFill="1" applyBorder="1" applyAlignment="1">
      <x:alignment vertical="center"/>
    </x:xf>
    <x:xf numFmtId="205" fontId="1" fillId="3" borderId="0" xfId="0" applyNumberFormat="1" applyFont="1" applyFill="1" applyBorder="1" applyAlignment="1">
      <x:alignment horizontal="right" vertical="center"/>
    </x:xf>
    <x:xf numFmtId="206" fontId="1" fillId="3" borderId="0" xfId="0" applyNumberFormat="1" applyFont="1" applyFill="1" applyBorder="1" applyAlignment="1">
      <x:alignment horizontal="right" vertical="center"/>
    </x:xf>
    <x:xf numFmtId="205" fontId="1" fillId="4" borderId="0" xfId="0" applyNumberFormat="1" applyFont="1" applyFill="1" applyBorder="1" applyAlignment="1">
      <x:alignment horizontal="right" vertical="center"/>
    </x:xf>
    <x:xf numFmtId="206" fontId="1" fillId="4" borderId="0" xfId="0" applyNumberFormat="1" applyFont="1" applyFill="1" applyBorder="1" applyAlignment="1">
      <x:alignment horizontal="right" vertical="center"/>
    </x:xf>
    <x:xf numFmtId="207" fontId="1" fillId="3" borderId="0" xfId="0" applyNumberFormat="1" applyFont="1" applyFill="1" applyBorder="1" applyAlignment="1">
      <x:alignment horizontal="right" vertical="center"/>
    </x:xf>
    <x:xf numFmtId="208" fontId="1" fillId="3" borderId="0" xfId="0" applyNumberFormat="1" applyFont="1" applyFill="1" applyBorder="1" applyAlignment="1">
      <x:alignment horizontal="right" vertical="center"/>
    </x:xf>
    <x:xf numFmtId="209" fontId="1" fillId="3" borderId="0" xfId="0" applyNumberFormat="1" applyFont="1" applyFill="1" applyBorder="1" applyAlignment="1">
      <x:alignment horizontal="right" vertical="center"/>
    </x:xf>
    <x:xf numFmtId="207" fontId="1" fillId="4" borderId="0" xfId="0" applyNumberFormat="1" applyFont="1" applyFill="1" applyBorder="1" applyAlignment="1">
      <x:alignment horizontal="right" vertical="center"/>
    </x:xf>
    <x:xf numFmtId="208" fontId="1" fillId="4" borderId="0" xfId="0" applyNumberFormat="1" applyFont="1" applyFill="1" applyBorder="1" applyAlignment="1">
      <x:alignment horizontal="right" vertical="center"/>
    </x:xf>
    <x:xf numFmtId="209" fontId="1" fillId="4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  <x:dxfs count="3">
    <x:dxf>
      <x:font>
        <x:color rgb="FF9C2B28"/>
      </x:font>
      <x:fill>
        <x:patternFill patternType="solid">
          <x:bgColor rgb="FFFCE8E6"/>
        </x:patternFill>
      </x:fill>
    </x:dxf>
    <x:dxf>
      <x:font>
        <x:color rgb="FF235C43"/>
      </x:font>
      <x:fill>
        <x:patternFill patternType="solid">
          <x:bgColor rgb="FFE8F3ED"/>
        </x:patternFill>
      </x:fill>
    </x:dxf>
    <x:dxf>
      <x:font>
        <x:color rgb="FF9C2B28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9b1794d6f54a9e" /><Relationship Type="http://schemas.openxmlformats.org/officeDocument/2006/relationships/theme" Target="/xl/theme/theme1.xml" Id="R36bbc3202be24b60" /><Relationship Type="http://schemas.openxmlformats.org/officeDocument/2006/relationships/sharedStrings" Target="/xl/sharedStrings.xml" Id="R98d7783d105e4435" /><Relationship Type="http://schemas.openxmlformats.org/officeDocument/2006/relationships/worksheet" Target="/xl/worksheets/sheet1.xml" Id="R64227a581b714854" /><Relationship Type="http://schemas.openxmlformats.org/officeDocument/2006/relationships/worksheet" Target="/xl/worksheets/sheet2.xml" Id="Re681da68fa094fda" /></Relationships>
</file>

<file path=xl/tables/table1.xml><?xml version="1.0" encoding="utf-8"?>
<x:table xmlns:x="http://schemas.openxmlformats.org/spreadsheetml/2006/main" id="1" name="MonthlyRotation36" displayName="MonthlyRotation36" ref="A9:I45" headerRowCount="1" totalsRowCount="0" totalsRowShown="0">
  <x:autoFilter ref="A9:I45"/>
  <x:tableColumns count="9">
    <x:tableColumn id="1" name="月份"/>
    <x:tableColumn id="2" name="自然月收益"/>
    <x:tableColumn id="3" name="月初持有的十币"/>
    <x:tableColumn id="4" name="本月新买入"/>
    <x:tableColumn id="5" name="月初换出"/>
    <x:tableColumn id="6" name="续持"/>
    <x:tableColumn id="7" name="月中提前结算"/>
    <x:tableColumn id="8" name="月末净值"/>
    <x:tableColumn id="9" name="续持数量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onthlyPosition360" displayName="MonthlyPosition360" ref="A7:K367" headerRowCount="1" totalsRowCount="0" totalsRowShown="0">
  <x:autoFilter ref="A7:K367"/>
  <x:tableColumns count="11">
    <x:tableColumn id="1" name="月份"/>
    <x:tableColumn id="2" name="标的"/>
    <x:tableColumn id="3" name="入选方式"/>
    <x:tableColumn id="4" name="买入参考价"/>
    <x:tableColumn id="5" name="退出/边界参考价"/>
    <x:tableColumn id="6" name="单币价格涨跌"/>
    <x:tableColumn id="7" name="退出/边界时刻 UTC"/>
    <x:tableColumn id="8" name="退出说明"/>
    <x:tableColumn id="9" name="初始权重"/>
    <x:tableColumn id="10" name="持币数量"/>
    <x:tableColumn id="11" name="价格盈亏 USD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ffcd3540270480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b3d4af263bb4300" /></Relationships>
</file>

<file path=xl/worksheets/sheet1.xml><?xml version="1.0" encoding="utf-8"?>
<x:worksheet xmlns:x="http://schemas.openxmlformats.org/spreadsheetml/2006/main">
  <x:sheetPr>
    <x:tabColor rgb="FF213B5B"/>
  </x:sheetPr>
  <x:sheetViews>
    <x:sheetView showGridLines="0" workbookViewId="0">
      <x:pane xSplit="1" ySplit="9" topLeftCell="B10" activePane="bottomRight" state="frozen"/>
    </x:sheetView>
  </x:sheetViews>
  <x:sheetFormatPr defaultRowHeight="15"/>
  <x:cols>
    <x:col min="1" max="1" width="10.109999656677246" hidden="0" customWidth="1"/>
    <x:col min="2" max="2" width="11.779999732971191" hidden="0" customWidth="1"/>
    <x:col min="3" max="3" width="31.110000610351562" hidden="0" customWidth="1"/>
    <x:col min="4" max="4" width="27.219999313354492" hidden="0" customWidth="1"/>
    <x:col min="5" max="5" width="27.219999313354492" hidden="0" customWidth="1"/>
    <x:col min="6" max="6" width="13.779999732971191" hidden="0" customWidth="1"/>
    <x:col min="7" max="7" width="18.780000686645508" hidden="0" customWidth="1"/>
    <x:col min="8" max="8" width="12.4399995803833" hidden="0" customWidth="1"/>
    <x:col min="9" max="9" width="9.67000007629394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</x:row>
    <x:row r="2" ht="21.75" customHeight="1">
      <x:c r="A2" s="3" t="str">
        <x:v>月频Top10：最近36个月买入与换出</x:v>
      </x:c>
      <x:c r="B2" s="3"/>
      <x:c r="C2" s="3"/>
      <x:c r="D2" s="3"/>
      <x:c r="E2" s="3"/>
      <x:c r="F2" s="3"/>
      <x:c r="G2" s="3"/>
      <x:c r="H2" s="3"/>
      <x:c r="I2" s="3"/>
    </x:row>
    <x:row r="3" ht="16.5" customHeight="1">
      <x:c r="A3" s="4" t="str">
        <x:v>2023年7月—2026年6月。原始月频Top10，不加MA120。每边手续费0.10% + 滑点0.04%，不含资金费。</x:v>
      </x:c>
      <x:c r="B3" s="4"/>
      <x:c r="C3" s="4"/>
      <x:c r="D3" s="4"/>
      <x:c r="E3" s="4"/>
      <x:c r="F3" s="4"/>
      <x:c r="G3" s="4"/>
      <x:c r="H3" s="4"/>
      <x:c r="I3" s="4"/>
    </x:row>
    <x:row r="4" ht="16.5" customHeight="1">
      <x:c r="A4" s="4" t="str">
        <x:v>收益沿用自然月口径；名单是月初00:15 UTC换仓后的十币。续持也会加减仓。下架结算为条件指数估算。</x:v>
      </x:c>
      <x:c r="B4" s="4"/>
      <x:c r="C4" s="4"/>
      <x:c r="D4" s="4"/>
      <x:c r="E4" s="4"/>
      <x:c r="F4" s="4"/>
      <x:c r="G4" s="4"/>
      <x:c r="H4" s="4"/>
      <x:c r="I4" s="4"/>
    </x:row>
    <x:row r="5" ht="18.75" customHeight="1">
      <x:c r="A5" s="2" t="str">
        <x:v>36个月收益</x:v>
      </x:c>
      <x:c r="B5" s="7" t="n">
        <x:f>H45-1</x:f>
        <x:v>0.7069278797455845</x:v>
      </x:c>
      <x:c r="C5" s="2" t="str">
        <x:v>年化收益</x:v>
      </x:c>
      <x:c r="D5" s="5" t="n">
        <x:f>H45^(365.25/1096.0104166666667)-1</x:f>
        <x:v>0.19505162162621437</x:v>
      </x:c>
      <x:c r="E5" s="2" t="str">
        <x:v>平均每月续持币数</x:v>
      </x:c>
      <x:c r="F5" s="6" t="n">
        <x:f>AVERAGE(I10:I45)</x:f>
        <x:v>1.1111111111111112</x:v>
      </x:c>
      <x:c r="G5" s="2"/>
      <x:c r="H5" s="2"/>
      <x:c r="I5" s="2"/>
    </x:row>
    <x:row r="6" ht="18.75" customHeight="1">
      <x:c r="A6" s="2" t="str">
        <x:v>最大回撤</x:v>
      </x:c>
      <x:c r="B6" s="7" t="n">
        <x:v>-0.8365863362381638</x:v>
      </x:c>
      <x:c r="C6" s="2" t="str">
        <x:v>盈利月份 / 36</x:v>
      </x:c>
      <x:c r="D6" s="2" t="n">
        <x:f>COUNTIFS(B10:B45,"&gt;0")</x:f>
        <x:v>17</x:v>
      </x:c>
      <x:c r="E6" s="2" t="str">
        <x:v>三年涉及标的数</x:v>
      </x:c>
      <x:c r="F6" s="2" t="n">
        <x:v>238</x:v>
      </x:c>
      <x:c r="G6" s="2"/>
      <x:c r="H6" s="2"/>
      <x:c r="I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</x:row>
    <x:row r="8">
      <x:c r="A8" s="4" t="str">
        <x:v>“新买入”不包括续持调仓；“月初换出”不重复计算上月已经下架的币。月末净值以2023年7月初为1。</x:v>
      </x:c>
      <x:c r="B8" s="4"/>
      <x:c r="C8" s="4"/>
      <x:c r="D8" s="4"/>
      <x:c r="E8" s="4"/>
      <x:c r="F8" s="4"/>
      <x:c r="G8" s="4"/>
      <x:c r="H8" s="4"/>
      <x:c r="I8" s="4"/>
    </x:row>
    <x:row r="9" ht="24" customHeight="1">
      <x:c r="A9" s="17" t="str">
        <x:v>月份</x:v>
      </x:c>
      <x:c r="B9" s="17" t="str">
        <x:v>自然月收益</x:v>
      </x:c>
      <x:c r="C9" s="17" t="str">
        <x:v>月初持有的十币</x:v>
      </x:c>
      <x:c r="D9" s="17" t="str">
        <x:v>本月新买入</x:v>
      </x:c>
      <x:c r="E9" s="17" t="str">
        <x:v>月初换出</x:v>
      </x:c>
      <x:c r="F9" s="17" t="str">
        <x:v>续持</x:v>
      </x:c>
      <x:c r="G9" s="17" t="str">
        <x:v>月中提前结算</x:v>
      </x:c>
      <x:c r="H9" s="17" t="str">
        <x:v>月末净值</x:v>
      </x:c>
      <x:c r="I9" s="17" t="str">
        <x:v>续持数量</x:v>
      </x:c>
    </x:row>
    <x:row r="10" ht="64.5" customHeight="1">
      <x:c r="A10" s="18" t="n">
        <x:v>45108</x:v>
      </x:c>
      <x:c r="B10" s="19" t="n">
        <x:v>0.006750796990499852</x:v>
      </x:c>
      <x:c r="C10" s="20" t="str">
        <x:v>1000PEPE、1000XEC、BCH
COMP、ETC、LTC
MKR、MTL、XLM
XMR</x:v>
      </x:c>
      <x:c r="D10" s="20" t="str">
        <x:v>1000PEPE、1000XEC、BCH
COMP、ETC、LTC
MKR、MTL、XLM
XMR</x:v>
      </x:c>
      <x:c r="E10" s="20" t="str">
        <x:v>ANT、ARPA、BEL
KAVA、LINA、NKN
RNDR、TOMO、TRX
XRP</x:v>
      </x:c>
      <x:c r="F10" s="20" t="str">
        <x:v>无</x:v>
      </x:c>
      <x:c r="G10" s="20" t="str">
        <x:v>无</x:v>
      </x:c>
      <x:c r="H10" s="21" t="n">
        <x:f>1+B10</x:f>
        <x:v>1.0067507969904999</x:v>
      </x:c>
      <x:c r="I10" s="22" t="n">
        <x:f>COUNTIFS('单币持仓'!$A$8:$A$367,A10,'单币持仓'!$C$8:$C$367,"续持调仓")</x:f>
        <x:v>0</x:v>
      </x:c>
    </x:row>
    <x:row r="11" ht="64.5" customHeight="1">
      <x:c r="A11" s="23" t="n">
        <x:v>45139</x:v>
      </x:c>
      <x:c r="B11" s="24" t="n">
        <x:v>-0.20587770556968954</x:v>
      </x:c>
      <x:c r="C11" s="25" t="str">
        <x:v>ASTR、KNC、MKR
OGN、SOL、STMX
TOMO、UNI、XLM
XRP</x:v>
      </x:c>
      <x:c r="D11" s="25" t="str">
        <x:v>ASTR、KNC、OGN
SOL、STMX、TOMO
UNI、XRP</x:v>
      </x:c>
      <x:c r="E11" s="25" t="str">
        <x:v>1000PEPE、1000XEC、BCH
COMP、ETC、LTC
MTL、XMR</x:v>
      </x:c>
      <x:c r="F11" s="25" t="str">
        <x:v>MKR、XLM</x:v>
      </x:c>
      <x:c r="G11" s="25" t="str">
        <x:v>无</x:v>
      </x:c>
      <x:c r="H11" s="26" t="n">
        <x:f>H10*(1+B11)</x:f>
        <x:v>0.7994832528256395</x:v>
      </x:c>
      <x:c r="I11" s="27" t="n">
        <x:f>COUNTIFS('单币持仓'!$A$8:$A$367,A11,'单币持仓'!$C$8:$C$367,"续持调仓")</x:f>
        <x:v>2</x:v>
      </x:c>
    </x:row>
    <x:row r="12" ht="64.5" customHeight="1">
      <x:c r="A12" s="18" t="n">
        <x:v>45170</x:v>
      </x:c>
      <x:c r="B12" s="19" t="n">
        <x:v>0.42273886497219015</x:v>
      </x:c>
      <x:c r="C12" s="20" t="str">
        <x:v>AMB、API3、BLZ
FET、LEVER、LPT
RUNE、SFP、TRB
UNFI</x:v>
      </x:c>
      <x:c r="D12" s="20" t="str">
        <x:v>AMB、API3、BLZ
FET、LEVER、LPT
RUNE、SFP、TRB
UNFI</x:v>
      </x:c>
      <x:c r="E12" s="20" t="str">
        <x:v>ASTR、KNC、MKR
OGN、SOL、STMX
TOMO、UNI、XLM
XRP</x:v>
      </x:c>
      <x:c r="F12" s="20" t="str">
        <x:v>无</x:v>
      </x:c>
      <x:c r="G12" s="20" t="str">
        <x:v>无</x:v>
      </x:c>
      <x:c r="H12" s="21" t="n">
        <x:f>H11*(1+B12)</x:f>
        <x:v>1.137455895689425</x:v>
      </x:c>
      <x:c r="I12" s="22" t="n">
        <x:f>COUNTIFS('单币持仓'!$A$8:$A$367,A12,'单币持仓'!$C$8:$C$367,"续持调仓")</x:f>
        <x:v>0</x:v>
      </x:c>
    </x:row>
    <x:row r="13" ht="64.5" customHeight="1">
      <x:c r="A13" s="23" t="n">
        <x:v>45200</x:v>
      </x:c>
      <x:c r="B13" s="24" t="n">
        <x:v>0.11361771551359823</x:v>
      </x:c>
      <x:c r="C13" s="25" t="str">
        <x:v>AMB、FLM、LEVER
LINK、OGN、PERP
STMX、STORJ、TRB
WLD</x:v>
      </x:c>
      <x:c r="D13" s="25" t="str">
        <x:v>FLM、LINK、OGN
PERP、STMX、STORJ
WLD</x:v>
      </x:c>
      <x:c r="E13" s="25" t="str">
        <x:v>API3、BLZ、FET
LPT、RUNE、SFP
UNFI</x:v>
      </x:c>
      <x:c r="F13" s="25" t="str">
        <x:v>AMB、LEVER
TRB</x:v>
      </x:c>
      <x:c r="G13" s="25" t="str">
        <x:v>无</x:v>
      </x:c>
      <x:c r="H13" s="26" t="n">
        <x:f>H12*(1+B13)</x:f>
        <x:v>1.2666910360551311</x:v>
      </x:c>
      <x:c r="I13" s="27" t="n">
        <x:f>COUNTIFS('单币持仓'!$A$8:$A$367,A13,'单币持仓'!$C$8:$C$367,"续持调仓")</x:f>
        <x:v>3</x:v>
      </x:c>
    </x:row>
    <x:row r="14" ht="64.5" customHeight="1">
      <x:c r="A14" s="18" t="n">
        <x:v>45231</x:v>
      </x:c>
      <x:c r="B14" s="19" t="n">
        <x:v>0.1361306146932202</x:v>
      </x:c>
      <x:c r="C14" s="20" t="str">
        <x:v>1000FLOKI、ARK、BLZ
FET、INJ、LQTY
MINA、RNDR、SOL
TRB</x:v>
      </x:c>
      <x:c r="D14" s="20" t="str">
        <x:v>1000FLOKI、ARK、BLZ
FET、INJ、LQTY
MINA、RNDR、SOL</x:v>
      </x:c>
      <x:c r="E14" s="20" t="str">
        <x:v>AMB、FLM、LEVER
LINK、OGN、PERP
STMX、STORJ、WLD</x:v>
      </x:c>
      <x:c r="F14" s="20" t="str">
        <x:v>TRB</x:v>
      </x:c>
      <x:c r="G14" s="20" t="str">
        <x:v>无</x:v>
      </x:c>
      <x:c r="H14" s="21" t="n">
        <x:f>H13*(1+B14)</x:f>
        <x:v>1.439126465419708</x:v>
      </x:c>
      <x:c r="I14" s="22" t="n">
        <x:f>COUNTIFS('单币持仓'!$A$8:$A$367,A14,'单币持仓'!$C$8:$C$367,"续持调仓")</x:f>
        <x:v>1</x:v>
      </x:c>
    </x:row>
    <x:row r="15" ht="64.5" customHeight="1">
      <x:c r="A15" s="23" t="n">
        <x:v>45261</x:v>
      </x:c>
      <x:c r="B15" s="24" t="n">
        <x:v>0.3860900433188037</x:v>
      </x:c>
      <x:c r="C15" s="25" t="str">
        <x:v>1000LUNC、AVAX、BLUR
IMX、ROSE、RUNE
SEI、SKL、STORJ
SUSHI</x:v>
      </x:c>
      <x:c r="D15" s="25" t="str">
        <x:v>1000LUNC、AVAX、BLUR
IMX、ROSE、RUNE
SEI、SKL、STORJ
SUSHI</x:v>
      </x:c>
      <x:c r="E15" s="25" t="str">
        <x:v>1000FLOKI、ARK、BLZ
FET、INJ、LQTY
MINA、RNDR、SOL
TRB</x:v>
      </x:c>
      <x:c r="F15" s="25" t="str">
        <x:v>无</x:v>
      </x:c>
      <x:c r="G15" s="25" t="str">
        <x:v>无</x:v>
      </x:c>
      <x:c r="H15" s="26" t="n">
        <x:f>H14*(1+B15)</x:f>
        <x:v>1.99475886479484</x:v>
      </x:c>
      <x:c r="I15" s="27" t="n">
        <x:f>COUNTIFS('单币持仓'!$A$8:$A$367,A15,'单币持仓'!$C$8:$C$367,"续持调仓")</x:f>
        <x:v>0</x:v>
      </x:c>
    </x:row>
    <x:row r="16" ht="64.5" customHeight="1">
      <x:c r="A16" s="18" t="n">
        <x:v>45292</x:v>
      </x:c>
      <x:c r="B16" s="19" t="n">
        <x:v>-0.1755019049151879</x:v>
      </x:c>
      <x:c r="C16" s="20" t="str">
        <x:v>1000BONK、BAKE、BIGTIME
ICP、NTRN、OP
ORDI、SEI、STX
TRB</x:v>
      </x:c>
      <x:c r="D16" s="20" t="str">
        <x:v>1000BONK、BAKE、BIGTIME
ICP、NTRN、OP
ORDI、STX、TRB</x:v>
      </x:c>
      <x:c r="E16" s="20" t="str">
        <x:v>1000LUNC、AVAX、BLUR
IMX、ROSE、RUNE
SKL、STORJ、SUSHI</x:v>
      </x:c>
      <x:c r="F16" s="20" t="str">
        <x:v>SEI</x:v>
      </x:c>
      <x:c r="G16" s="20" t="str">
        <x:v>无</x:v>
      </x:c>
      <x:c r="H16" s="21" t="n">
        <x:f>H15*(1+B16)</x:f>
        <x:v>1.644674884176888</x:v>
      </x:c>
      <x:c r="I16" s="22" t="n">
        <x:f>COUNTIFS('单币持仓'!$A$8:$A$367,A16,'单币持仓'!$C$8:$C$367,"续持调仓")</x:f>
        <x:v>1</x:v>
      </x:c>
    </x:row>
    <x:row r="17" ht="64.5" customHeight="1">
      <x:c r="A17" s="23" t="n">
        <x:v>45323</x:v>
      </x:c>
      <x:c r="B17" s="24" t="n">
        <x:v>0.2691164872911407</x:v>
      </x:c>
      <x:c r="C17" s="25" t="str">
        <x:v>API3、DUSK、ENS
MAV、PENDLE、PEOPLE
RLC、SUI、TIA
UMA</x:v>
      </x:c>
      <x:c r="D17" s="25" t="str">
        <x:v>API3、DUSK、ENS
MAV、PENDLE、PEOPLE
RLC、SUI、TIA
UMA</x:v>
      </x:c>
      <x:c r="E17" s="25" t="str">
        <x:v>1000BONK、BAKE、BIGTIME
ICP、NTRN、OP
ORDI、SEI、STX
TRB</x:v>
      </x:c>
      <x:c r="F17" s="25" t="str">
        <x:v>无</x:v>
      </x:c>
      <x:c r="G17" s="25" t="str">
        <x:v>无</x:v>
      </x:c>
      <x:c r="H17" s="26" t="n">
        <x:f>H16*(1+B17)</x:f>
        <x:v>2.0872840117425357</x:v>
      </x:c>
      <x:c r="I17" s="27" t="n">
        <x:f>COUNTIFS('单币持仓'!$A$8:$A$367,A17,'单币持仓'!$C$8:$C$367,"续持调仓")</x:f>
        <x:v>0</x:v>
      </x:c>
    </x:row>
    <x:row r="18" ht="64.5" customHeight="1">
      <x:c r="A18" s="18" t="n">
        <x:v>45352</x:v>
      </x:c>
      <x:c r="B18" s="19" t="n">
        <x:v>0.8310157095442137</x:v>
      </x:c>
      <x:c r="C18" s="20" t="str">
        <x:v>1000PEPE、AGIX、AR
ARKM、CKB、COTI
JASMY、SPELL、WIF
WLD</x:v>
      </x:c>
      <x:c r="D18" s="20" t="str">
        <x:v>1000PEPE、AGIX、AR
ARKM、CKB、COTI
JASMY、SPELL、WIF
WLD</x:v>
      </x:c>
      <x:c r="E18" s="20" t="str">
        <x:v>API3、DUSK、ENS
MAV、PENDLE、PEOPLE
RLC、SUI、TIA
UMA</x:v>
      </x:c>
      <x:c r="F18" s="20" t="str">
        <x:v>无</x:v>
      </x:c>
      <x:c r="G18" s="20" t="str">
        <x:v>无</x:v>
      </x:c>
      <x:c r="H18" s="21" t="n">
        <x:f>H17*(1+B18)</x:f>
        <x:v>3.821849815781052</x:v>
      </x:c>
      <x:c r="I18" s="22" t="n">
        <x:f>COUNTIFS('单币持仓'!$A$8:$A$367,A18,'单币持仓'!$C$8:$C$367,"续持调仓")</x:f>
        <x:v>0</x:v>
      </x:c>
    </x:row>
    <x:row r="19" ht="64.5" customHeight="1">
      <x:c r="A19" s="23" t="n">
        <x:v>45383</x:v>
      </x:c>
      <x:c r="B19" s="24" t="n">
        <x:v>-0.3873439329476356</x:v>
      </x:c>
      <x:c r="C19" s="25" t="str">
        <x:v>1000FLOKI、1000PEPE
1000SHIB、JUP、OM
POLYX、RSR、TOKEN
WIF、YGG</x:v>
      </x:c>
      <x:c r="D19" s="25" t="str">
        <x:v>1000FLOKI、1000SHIB、JUP
OM、POLYX、RSR
TOKEN、YGG</x:v>
      </x:c>
      <x:c r="E19" s="25" t="str">
        <x:v>AGIX、AR、ARKM
CKB、COTI、JASMY
SPELL、WLD</x:v>
      </x:c>
      <x:c r="F19" s="25" t="str">
        <x:v>1000PEPE
WIF</x:v>
      </x:c>
      <x:c r="G19" s="25" t="str">
        <x:v>无</x:v>
      </x:c>
      <x:c r="H19" s="26" t="n">
        <x:f>H18*(1+B19)</x:f>
        <x:v>2.3414794770012226</x:v>
      </x:c>
      <x:c r="I19" s="27" t="n">
        <x:f>COUNTIFS('单币持仓'!$A$8:$A$367,A19,'单币持仓'!$C$8:$C$367,"续持调仓")</x:f>
        <x:v>2</x:v>
      </x:c>
    </x:row>
    <x:row r="20" ht="64.5" customHeight="1">
      <x:c r="A20" s="18" t="n">
        <x:v>45413</x:v>
      </x:c>
      <x:c r="B20" s="19" t="n">
        <x:v>0.05478189146598278</x:v>
      </x:c>
      <x:c r="C20" s="20" t="str">
        <x:v>ATA、BNB、BNX
HIGH、LEVER、NEO
ONG、ONT、SFP
TRX</x:v>
      </x:c>
      <x:c r="D20" s="20" t="str">
        <x:v>ATA、BNB、BNX
HIGH、LEVER、NEO
ONG、ONT、SFP
TRX</x:v>
      </x:c>
      <x:c r="E20" s="20" t="str">
        <x:v>1000FLOKI、1000PEPE
1000SHIB、JUP、OM
POLYX、RSR、TOKEN
WIF、YGG</x:v>
      </x:c>
      <x:c r="F20" s="20" t="str">
        <x:v>无</x:v>
      </x:c>
      <x:c r="G20" s="20" t="str">
        <x:v>无</x:v>
      </x:c>
      <x:c r="H20" s="21" t="n">
        <x:f>H19*(1+B20)</x:f>
        <x:v>2.4697501515801297</x:v>
      </x:c>
      <x:c r="I20" s="22" t="n">
        <x:f>COUNTIFS('单币持仓'!$A$8:$A$367,A20,'单币持仓'!$C$8:$C$367,"续持调仓")</x:f>
        <x:v>0</x:v>
      </x:c>
    </x:row>
    <x:row r="21" ht="64.5" customHeight="1">
      <x:c r="A21" s="23" t="n">
        <x:v>45444</x:v>
      </x:c>
      <x:c r="B21" s="24" t="n">
        <x:v>-0.22718078578350498</x:v>
      </x:c>
      <x:c r="C21" s="25" t="str">
        <x:v>1000PEPE、ENS、HIGH
JASMY、LPT、MYRO
PEOPLE、PHB、TRB
TRU</x:v>
      </x:c>
      <x:c r="D21" s="25" t="str">
        <x:v>1000PEPE、ENS、JASMY
LPT、MYRO、PEOPLE
PHB、TRB、TRU</x:v>
      </x:c>
      <x:c r="E21" s="25" t="str">
        <x:v>ATA、BNB、BNX
LEVER、NEO、ONG
ONT、SFP、TRX</x:v>
      </x:c>
      <x:c r="F21" s="25" t="str">
        <x:v>HIGH</x:v>
      </x:c>
      <x:c r="G21" s="25" t="str">
        <x:v>无</x:v>
      </x:c>
      <x:c r="H21" s="26" t="n">
        <x:f>H20*(1+B21)</x:f>
        <x:v>1.9086703714552253</x:v>
      </x:c>
      <x:c r="I21" s="27" t="n">
        <x:f>COUNTIFS('单币持仓'!$A$8:$A$367,A21,'单币持仓'!$C$8:$C$367,"续持调仓")</x:f>
        <x:v>1</x:v>
      </x:c>
    </x:row>
    <x:row r="22" ht="64.5" customHeight="1">
      <x:c r="A22" s="18" t="n">
        <x:v>45474</x:v>
      </x:c>
      <x:c r="B22" s="19" t="n">
        <x:v>-0.056057416005979355</x:v>
      </x:c>
      <x:c r="C22" s="20" t="str">
        <x:v>ENS、KAS、NOT
OM、PEOPLE、SFP
TON、TRX、UNFI
XMR</x:v>
      </x:c>
      <x:c r="D22" s="20" t="str">
        <x:v>KAS、NOT、OM
SFP、TON、TRX
UNFI、XMR</x:v>
      </x:c>
      <x:c r="E22" s="20" t="str">
        <x:v>1000PEPE、HIGH、JASMY
LPT、MYRO、PHB
TRB、TRU</x:v>
      </x:c>
      <x:c r="F22" s="20" t="str">
        <x:v>ENS、PEOPLE</x:v>
      </x:c>
      <x:c r="G22" s="20" t="str">
        <x:v>无</x:v>
      </x:c>
      <x:c r="H22" s="21" t="n">
        <x:f>H21*(1+B22)</x:f>
        <x:v>1.8016752424242726</x:v>
      </x:c>
      <x:c r="I22" s="22" t="n">
        <x:f>COUNTIFS('单币持仓'!$A$8:$A$367,A22,'单币持仓'!$C$8:$C$367,"续持调仓")</x:f>
        <x:v>2</x:v>
      </x:c>
    </x:row>
    <x:row r="23" ht="64.5" customHeight="1">
      <x:c r="A23" s="23" t="n">
        <x:v>45505</x:v>
      </x:c>
      <x:c r="B23" s="24" t="n">
        <x:v>-0.15876985914526331</x:v>
      </x:c>
      <x:c r="C23" s="25" t="str">
        <x:v>1000SATS、BNX、DAR
MEW、OM、STMX
XEM、XRP、ZEC
ZEN</x:v>
      </x:c>
      <x:c r="D23" s="25" t="str">
        <x:v>1000SATS、BNX、DAR
MEW、STMX、XEM
XRP、ZEC、ZEN</x:v>
      </x:c>
      <x:c r="E23" s="25" t="str">
        <x:v>ENS、KAS、NOT
PEOPLE、SFP、TON
TRX、UNFI、XMR</x:v>
      </x:c>
      <x:c r="F23" s="25" t="str">
        <x:v>OM</x:v>
      </x:c>
      <x:c r="G23" s="25" t="str">
        <x:v>无</x:v>
      </x:c>
      <x:c r="H23" s="26" t="n">
        <x:f>H22*(1+B23)</x:f>
        <x:v>1.5156235179590627</x:v>
      </x:c>
      <x:c r="I23" s="27" t="n">
        <x:f>COUNTIFS('单币持仓'!$A$8:$A$367,A23,'单币持仓'!$C$8:$C$367,"续持调仓")</x:f>
        <x:v>1</x:v>
      </x:c>
    </x:row>
    <x:row r="24" ht="64.5" customHeight="1">
      <x:c r="A24" s="18" t="n">
        <x:v>45536</x:v>
      </x:c>
      <x:c r="B24" s="19" t="n">
        <x:v>0.1945408458273723</x:v>
      </x:c>
      <x:c r="C24" s="20" t="str">
        <x:v>1000SATS、AAVE、BOND
CRV、NMR、RSR
SUI、SUPER、TRX
XMR</x:v>
      </x:c>
      <x:c r="D24" s="20" t="str">
        <x:v>AAVE、BOND、CRV
NMR、RSR、SUI
SUPER、TRX、XMR</x:v>
      </x:c>
      <x:c r="E24" s="20" t="str">
        <x:v>BNX、DAR、MEW
OM、STMX、XEM
XRP、ZEC、ZEN</x:v>
      </x:c>
      <x:c r="F24" s="20" t="str">
        <x:v>1000SATS</x:v>
      </x:c>
      <x:c r="G24" s="20" t="str">
        <x:v>无</x:v>
      </x:c>
      <x:c r="H24" s="21" t="n">
        <x:f>H23*(1+B24)</x:f>
        <x:v>1.8104741990986764</x:v>
      </x:c>
      <x:c r="I24" s="22" t="n">
        <x:f>COUNTIFS('单币持仓'!$A$8:$A$367,A24,'单币持仓'!$C$8:$C$367,"续持调仓")</x:f>
        <x:v>1</x:v>
      </x:c>
    </x:row>
    <x:row r="25" ht="64.5" customHeight="1">
      <x:c r="A25" s="23" t="n">
        <x:v>45566</x:v>
      </x:c>
      <x:c r="B25" s="24" t="n">
        <x:v>-0.03556358890100786</x:v>
      </x:c>
      <x:c r="C25" s="25" t="str">
        <x:v>ALT、BIGTIME、CKB
ETHW、POPCAT、REEF
SAGA、SUI、TAO
TURBO</x:v>
      </x:c>
      <x:c r="D25" s="25" t="str">
        <x:v>ALT、BIGTIME、CKB
ETHW、POPCAT、REEF
SAGA、TAO、TURBO</x:v>
      </x:c>
      <x:c r="E25" s="25" t="str">
        <x:v>1000SATS、AAVE、BOND
CRV、NMR、RSR
SUPER、TRX、XMR</x:v>
      </x:c>
      <x:c r="F25" s="25" t="str">
        <x:v>SUI</x:v>
      </x:c>
      <x:c r="G25" s="25" t="str">
        <x:v>无</x:v>
      </x:c>
      <x:c r="H25" s="26" t="n">
        <x:f>H24*(1+B25)</x:f>
        <x:v>1.7460872389660496</x:v>
      </x:c>
      <x:c r="I25" s="27" t="n">
        <x:f>COUNTIFS('单币持仓'!$A$8:$A$367,A25,'单币持仓'!$C$8:$C$367,"续持调仓")</x:f>
        <x:v>1</x:v>
      </x:c>
    </x:row>
    <x:row r="26" ht="64.5" customHeight="1">
      <x:c r="A26" s="18" t="n">
        <x:v>45597</x:v>
      </x:c>
      <x:c r="B26" s="19" t="n">
        <x:v>0.31249666913983276</x:v>
      </x:c>
      <x:c r="C26" s="20" t="str">
        <x:v>APE、BIGTIME、DOGE
MASK、MEW、NEIRO
POPCAT、SUPER、TURBO
ZEC</x:v>
      </x:c>
      <x:c r="D26" s="20" t="str">
        <x:v>APE、DOGE、MASK
MEW、NEIRO、SUPER
ZEC</x:v>
      </x:c>
      <x:c r="E26" s="20" t="str">
        <x:v>ALT、CKB、ETHW
REEF、SAGA、SUI
TAO</x:v>
      </x:c>
      <x:c r="F26" s="20" t="str">
        <x:v>BIGTIME
POPCAT
TURBO</x:v>
      </x:c>
      <x:c r="G26" s="20" t="str">
        <x:v>无</x:v>
      </x:c>
      <x:c r="H26" s="21" t="n">
        <x:f>H25*(1+B26)</x:f>
        <x:v>2.2917336851705072</x:v>
      </x:c>
      <x:c r="I26" s="22" t="n">
        <x:f>COUNTIFS('单币持仓'!$A$8:$A$367,A26,'单币持仓'!$C$8:$C$367,"续持调仓")</x:f>
        <x:v>3</x:v>
      </x:c>
    </x:row>
    <x:row r="27" ht="64.5" customHeight="1">
      <x:c r="A27" s="23" t="n">
        <x:v>45627</x:v>
      </x:c>
      <x:c r="B27" s="24" t="n">
        <x:v>-0.08273432228041144</x:v>
      </x:c>
      <x:c r="C27" s="25" t="str">
        <x:v>ADA、ALGO、CRV
DOGE、HBAR、SAND
THETA、XLM、XRP
XTZ</x:v>
      </x:c>
      <x:c r="D27" s="25" t="str">
        <x:v>ADA、ALGO、CRV
HBAR、SAND、THETA
XLM、XRP、XTZ</x:v>
      </x:c>
      <x:c r="E27" s="25" t="str">
        <x:v>APE、BIGTIME、MASK
MEW、NEIRO、POPCAT
SUPER、TURBO、ZEC</x:v>
      </x:c>
      <x:c r="F27" s="25" t="str">
        <x:v>DOGE</x:v>
      </x:c>
      <x:c r="G27" s="25" t="str">
        <x:v>无</x:v>
      </x:c>
      <x:c r="H27" s="26" t="n">
        <x:f>H26*(1+B27)</x:f>
        <x:v>2.1021286518807356</x:v>
      </x:c>
      <x:c r="I27" s="27" t="n">
        <x:f>COUNTIFS('单币持仓'!$A$8:$A$367,A27,'单币持仓'!$C$8:$C$367,"续持调仓")</x:f>
        <x:v>1</x:v>
      </x:c>
    </x:row>
    <x:row r="28" ht="64.5" customHeight="1">
      <x:c r="A28" s="18" t="n">
        <x:v>45658</x:v>
      </x:c>
      <x:c r="B28" s="19" t="n">
        <x:v>-0.25813845960216664</x:v>
      </x:c>
      <x:c r="C28" s="20" t="str">
        <x:v>1000CHEEMS、AAVE、AGLD
COW、HBAR、MORPHO
TROY、UXLINK、XVG
ZEN</x:v>
      </x:c>
      <x:c r="D28" s="20" t="str">
        <x:v>1000CHEEMS、AAVE、AGLD
COW、MORPHO、TROY
UXLINK、XVG、ZEN</x:v>
      </x:c>
      <x:c r="E28" s="20" t="str">
        <x:v>ADA、ALGO、CRV
DOGE、SAND、THETA
XLM、XRP、XTZ</x:v>
      </x:c>
      <x:c r="F28" s="20" t="str">
        <x:v>HBAR</x:v>
      </x:c>
      <x:c r="G28" s="20" t="str">
        <x:v>无</x:v>
      </x:c>
      <x:c r="H28" s="21" t="n">
        <x:f>H27*(1+B28)</x:f>
        <x:v>1.5594883997986633</x:v>
      </x:c>
      <x:c r="I28" s="22" t="n">
        <x:f>COUNTIFS('单币持仓'!$A$8:$A$367,A28,'单币持仓'!$C$8:$C$367,"续持调仓")</x:f>
        <x:v>1</x:v>
      </x:c>
    </x:row>
    <x:row r="29" ht="64.5" customHeight="1">
      <x:c r="A29" s="23" t="n">
        <x:v>45689</x:v>
      </x:c>
      <x:c r="B29" s="24" t="n">
        <x:v>-0.23932723553928525</x:v>
      </x:c>
      <x:c r="C29" s="25" t="str">
        <x:v>ACH、BEL、DEXE
JUP、LDO、OM
RAYSOL、SPELL、SPX
XRP</x:v>
      </x:c>
      <x:c r="D29" s="25" t="str">
        <x:v>ACH、BEL、DEXE
JUP、LDO、OM
RAYSOL、SPELL、SPX
XRP</x:v>
      </x:c>
      <x:c r="E29" s="25" t="str">
        <x:v>1000CHEEMS、AAVE、AGLD
COW、HBAR、MORPHO
TROY、UXLINK、XVG
ZEN</x:v>
      </x:c>
      <x:c r="F29" s="25" t="str">
        <x:v>无</x:v>
      </x:c>
      <x:c r="G29" s="25" t="str">
        <x:v>无</x:v>
      </x:c>
      <x:c r="H29" s="26" t="n">
        <x:f>H28*(1+B29)</x:f>
        <x:v>1.1862603522192656</x:v>
      </x:c>
      <x:c r="I29" s="27" t="n">
        <x:f>COUNTIFS('单币持仓'!$A$8:$A$367,A29,'单币持仓'!$C$8:$C$367,"续持调仓")</x:f>
        <x:v>0</x:v>
      </x:c>
    </x:row>
    <x:row r="30" ht="64.5" customHeight="1">
      <x:c r="A30" s="18" t="n">
        <x:v>45717</x:v>
      </x:c>
      <x:c r="B30" s="19" t="n">
        <x:v>-0.12108458598428251</x:v>
      </x:c>
      <x:c r="C30" s="20" t="str">
        <x:v>BAN、BEL、BNX
BTCDOM、GRASS、MKR
OM、PROM、S
TNSR</x:v>
      </x:c>
      <x:c r="D30" s="20" t="str">
        <x:v>BAN、BNX、BTCDOM
GRASS、MKR、PROM
S、TNSR</x:v>
      </x:c>
      <x:c r="E30" s="20" t="str">
        <x:v>ACH、DEXE、JUP
LDO、RAYSOL、SPELL
SPX、XRP</x:v>
      </x:c>
      <x:c r="F30" s="20" t="str">
        <x:v>BEL、OM</x:v>
      </x:c>
      <x:c r="G30" s="28" t="str">
        <x:v>BNX 03-17 09:00 UTC</x:v>
      </x:c>
      <x:c r="H30" s="21" t="n">
        <x:f>H29*(1+B30)</x:f>
        <x:v>1.0426225086012266</x:v>
      </x:c>
      <x:c r="I30" s="22" t="n">
        <x:f>COUNTIFS('单币持仓'!$A$8:$A$367,A30,'单币持仓'!$C$8:$C$367,"续持调仓")</x:f>
        <x:v>2</x:v>
      </x:c>
    </x:row>
    <x:row r="31" ht="64.5" customHeight="1">
      <x:c r="A31" s="23" t="n">
        <x:v>45748</x:v>
      </x:c>
      <x:c r="B31" s="24" t="n">
        <x:v>0.31025403520325145</x:v>
      </x:c>
      <x:c r="C31" s="25" t="str">
        <x:v>1000CHEEMS、1000X、ALCH
API3、DEGO、FARTCOIN
LAYER、ORCA、TON
VIDT</x:v>
      </x:c>
      <x:c r="D31" s="25" t="str">
        <x:v>1000CHEEMS、1000X、ALCH
API3、DEGO、FARTCOIN
LAYER、ORCA、TON
VIDT</x:v>
      </x:c>
      <x:c r="E31" s="25" t="str">
        <x:v>BAN、BEL、BTCDOM
GRASS、MKR、OM
PROM、S、TNSR</x:v>
      </x:c>
      <x:c r="F31" s="25" t="str">
        <x:v>无</x:v>
      </x:c>
      <x:c r="G31" s="28" t="str">
        <x:v>VIDT 04-14 09:00 UTC</x:v>
      </x:c>
      <x:c r="H31" s="26" t="n">
        <x:f>H30*(1+B31)</x:f>
        <x:v>1.366100349088494</x:v>
      </x:c>
      <x:c r="I31" s="27" t="n">
        <x:f>COUNTIFS('单币持仓'!$A$8:$A$367,A31,'单币持仓'!$C$8:$C$367,"续持调仓")</x:f>
        <x:v>0</x:v>
      </x:c>
    </x:row>
    <x:row r="32" ht="64.5" customHeight="1">
      <x:c r="A32" s="18" t="n">
        <x:v>45778</x:v>
      </x:c>
      <x:c r="B32" s="19" t="n">
        <x:v>-0.09305912533118887</x:v>
      </x:c>
      <x:c r="C32" s="20" t="str">
        <x:v>ALCH、BROCCOLIF3B
FARTCOIN、JELLYJELLY
LAYER、NEIROETH、POPCAT
SIREN、TURBO、VIRTUAL</x:v>
      </x:c>
      <x:c r="D32" s="20" t="str">
        <x:v>BROCCOLIF3B、JELLYJELLY
NEIROETH、POPCAT、SIREN
TURBO、VIRTUAL</x:v>
      </x:c>
      <x:c r="E32" s="20" t="str">
        <x:v>1000CHEEMS、1000X、API3
DEGO、ORCA、TON</x:v>
      </x:c>
      <x:c r="F32" s="20" t="str">
        <x:v>ALCH
FARTCOIN
LAYER</x:v>
      </x:c>
      <x:c r="G32" s="20" t="str">
        <x:v>无</x:v>
      </x:c>
      <x:c r="H32" s="21" t="n">
        <x:f>H31*(1+B32)</x:f>
        <x:v>1.238972245487687</x:v>
      </x:c>
      <x:c r="I32" s="22" t="n">
        <x:f>COUNTIFS('单币持仓'!$A$8:$A$367,A32,'单币持仓'!$C$8:$C$367,"续持调仓")</x:f>
        <x:v>3</x:v>
      </x:c>
    </x:row>
    <x:row r="33" ht="64.5" customHeight="1">
      <x:c r="A33" s="23" t="n">
        <x:v>45809</x:v>
      </x:c>
      <x:c r="B33" s="24" t="n">
        <x:v>-0.229006221682847</x:v>
      </x:c>
      <x:c r="C33" s="25" t="str">
        <x:v>BANK、CHILLGUY、ETHFI
KAITO、LPT、MASK
MOODENG、NEIRO、SIREN
SPX</x:v>
      </x:c>
      <x:c r="D33" s="25" t="str">
        <x:v>BANK、CHILLGUY、ETHFI
KAITO、LPT、MASK
MOODENG、NEIRO、SPX</x:v>
      </x:c>
      <x:c r="E33" s="25" t="str">
        <x:v>ALCH、BROCCOLIF3B
FARTCOIN、JELLYJELLY
LAYER、NEIROETH、POPCAT
TURBO、VIRTUAL</x:v>
      </x:c>
      <x:c r="F33" s="25" t="str">
        <x:v>SIREN</x:v>
      </x:c>
      <x:c r="G33" s="25" t="str">
        <x:v>无</x:v>
      </x:c>
      <x:c r="H33" s="26" t="n">
        <x:f>H32*(1+B33)</x:f>
        <x:v>0.9552398927786391</x:v>
      </x:c>
      <x:c r="I33" s="27" t="n">
        <x:f>COUNTIFS('单币持仓'!$A$8:$A$367,A33,'单币持仓'!$C$8:$C$367,"续持调仓")</x:f>
        <x:v>1</x:v>
      </x:c>
    </x:row>
    <x:row r="34" ht="64.5" customHeight="1">
      <x:c r="A34" s="18" t="n">
        <x:v>45839</x:v>
      </x:c>
      <x:c r="B34" s="19" t="n">
        <x:v>-0.26721030175732596</x:v>
      </x:c>
      <x:c r="C34" s="20" t="str">
        <x:v>AERO、BANANAS31、BID
BMT、BR、FUN
HFT、LQTY、SYRUP
TUT</x:v>
      </x:c>
      <x:c r="D34" s="20" t="str">
        <x:v>AERO、BANANAS31、BID
BMT、BR、FUN
HFT、LQTY、SYRUP
TUT</x:v>
      </x:c>
      <x:c r="E34" s="20" t="str">
        <x:v>BANK、CHILLGUY、ETHFI
KAITO、LPT、MASK
MOODENG、NEIRO、SIREN
SPX</x:v>
      </x:c>
      <x:c r="F34" s="20" t="str">
        <x:v>无</x:v>
      </x:c>
      <x:c r="G34" s="20" t="str">
        <x:v>无</x:v>
      </x:c>
      <x:c r="H34" s="21" t="n">
        <x:f>H33*(1+B34)</x:f>
        <x:v>0.6999899527786232</x:v>
      </x:c>
      <x:c r="I34" s="22" t="n">
        <x:f>COUNTIFS('单币持仓'!$A$8:$A$367,A34,'单币持仓'!$C$8:$C$367,"续持调仓")</x:f>
        <x:v>0</x:v>
      </x:c>
    </x:row>
    <x:row r="35" ht="64.5" customHeight="1">
      <x:c r="A35" s="23" t="n">
        <x:v>45870</x:v>
      </x:c>
      <x:c r="B35" s="24" t="n">
        <x:v>0.21077294557781467</x:v>
      </x:c>
      <x:c r="C35" s="25" t="str">
        <x:v>AIOT、ASR、CFX
DOLO、EPIC、HYPER
OMNI、PENGU、SPK
VINE</x:v>
      </x:c>
      <x:c r="D35" s="25" t="str">
        <x:v>AIOT、ASR、CFX
DOLO、EPIC、HYPER
OMNI、PENGU、SPK
VINE</x:v>
      </x:c>
      <x:c r="E35" s="25" t="str">
        <x:v>AERO、BANANAS31、BID
BMT、BR、FUN
HFT、LQTY、SYRUP
TUT</x:v>
      </x:c>
      <x:c r="F35" s="25" t="str">
        <x:v>无</x:v>
      </x:c>
      <x:c r="G35" s="25" t="str">
        <x:v>无</x:v>
      </x:c>
      <x:c r="H35" s="26" t="n">
        <x:f>H34*(1+B35)</x:f>
        <x:v>0.847528897000649</x:v>
      </x:c>
      <x:c r="I35" s="27" t="n">
        <x:f>COUNTIFS('单币持仓'!$A$8:$A$367,A35,'单币持仓'!$C$8:$C$367,"续持调仓")</x:f>
        <x:v>0</x:v>
      </x:c>
    </x:row>
    <x:row r="36" ht="64.5" customHeight="1">
      <x:c r="A36" s="18" t="n">
        <x:v>45901</x:v>
      </x:c>
      <x:c r="B36" s="19" t="n">
        <x:v>1.580129232703376</x:v>
      </x:c>
      <x:c r="C36" s="20" t="str">
        <x:v>AIOT、ALPINE、BIO
DOLO、M、MYX
NMR、OG、SOON
TA</x:v>
      </x:c>
      <x:c r="D36" s="20" t="str">
        <x:v>ALPINE、BIO、M
MYX、NMR、OG
SOON、TA</x:v>
      </x:c>
      <x:c r="E36" s="20" t="str">
        <x:v>ASR、CFX、EPIC
HYPER、OMNI、PENGU
SPK、VINE</x:v>
      </x:c>
      <x:c r="F36" s="20" t="str">
        <x:v>AIOT、DOLO</x:v>
      </x:c>
      <x:c r="G36" s="20" t="str">
        <x:v>无</x:v>
      </x:c>
      <x:c r="H36" s="21" t="n">
        <x:f>H35*(1+B36)</x:f>
        <x:v>2.1867340827122232</x:v>
      </x:c>
      <x:c r="I36" s="22" t="n">
        <x:f>COUNTIFS('单币持仓'!$A$8:$A$367,A36,'单币持仓'!$C$8:$C$367,"续持调仓")</x:f>
        <x:v>2</x:v>
      </x:c>
    </x:row>
    <x:row r="37" ht="64.5" customHeight="1">
      <x:c r="A37" s="23" t="n">
        <x:v>45931</x:v>
      </x:c>
      <x:c r="B37" s="24" t="n">
        <x:v>0.1887344539761029</x:v>
      </x:c>
      <x:c r="C37" s="25" t="str">
        <x:v>ALPINE、AWE、H
HEMI、JELLYJELLY、M
MERL、MYX、SQD
VELVET</x:v>
      </x:c>
      <x:c r="D37" s="25" t="str">
        <x:v>AWE、H、HEMI
JELLYJELLY、MERL、SQD
VELVET</x:v>
      </x:c>
      <x:c r="E37" s="25" t="str">
        <x:v>AIOT、BIO、DOLO
NMR、OG、SOON
TA</x:v>
      </x:c>
      <x:c r="F37" s="25" t="str">
        <x:v>ALPINE、M
MYX</x:v>
      </x:c>
      <x:c r="G37" s="25" t="str">
        <x:v>无</x:v>
      </x:c>
      <x:c r="H37" s="26" t="n">
        <x:f>H36*(1+B37)</x:f>
        <x:v>2.599446145803849</x:v>
      </x:c>
      <x:c r="I37" s="27" t="n">
        <x:f>COUNTIFS('单币持仓'!$A$8:$A$367,A37,'单币持仓'!$C$8:$C$367,"续持调仓")</x:f>
        <x:v>3</x:v>
      </x:c>
    </x:row>
    <x:row r="38" ht="64.5" customHeight="1">
      <x:c r="A38" s="18" t="n">
        <x:v>45962</x:v>
      </x:c>
      <x:c r="B38" s="19" t="n">
        <x:v>-0.4620040967414697</x:v>
      </x:c>
      <x:c r="C38" s="20" t="str">
        <x:v>AIA、COAI、DASH
H、JELLYJELLY、LIGHT
UB、XPIN、ZEC
ZEREBRO</x:v>
      </x:c>
      <x:c r="D38" s="20" t="str">
        <x:v>AIA、COAI、DASH
LIGHT、UB、XPIN
ZEC、ZEREBRO</x:v>
      </x:c>
      <x:c r="E38" s="20" t="str">
        <x:v>ALPINE、AWE、HEMI
M、MERL、MYX
SQD、VELVET</x:v>
      </x:c>
      <x:c r="F38" s="20" t="str">
        <x:v>H
JELLYJELLY</x:v>
      </x:c>
      <x:c r="G38" s="20" t="str">
        <x:v>无</x:v>
      </x:c>
      <x:c r="H38" s="21" t="n">
        <x:f>H37*(1+B38)</x:f>
        <x:v>1.398491377183647</x:v>
      </x:c>
      <x:c r="I38" s="22" t="n">
        <x:f>COUNTIFS('单币持仓'!$A$8:$A$367,A38,'单币持仓'!$C$8:$C$367,"续持调仓")</x:f>
        <x:v>2</x:v>
      </x:c>
    </x:row>
    <x:row r="39" ht="64.5" customHeight="1">
      <x:c r="A39" s="23" t="n">
        <x:v>45992</x:v>
      </x:c>
      <x:c r="B39" s="24" t="n">
        <x:v>-0.17008453473456464</x:v>
      </x:c>
      <x:c r="C39" s="25" t="str">
        <x:v>ALCH、ARC、BAT
BDXN、ESPORTS、PARTI
PIPPIN、TNSR、TRADOOR
TRUTH</x:v>
      </x:c>
      <x:c r="D39" s="25" t="str">
        <x:v>ALCH、ARC、BAT
BDXN、ESPORTS、PARTI
PIPPIN、TNSR、TRADOOR
TRUTH</x:v>
      </x:c>
      <x:c r="E39" s="25" t="str">
        <x:v>AIA、COAI、DASH
H、JELLYJELLY、LIGHT
UB、XPIN、ZEC
ZEREBRO</x:v>
      </x:c>
      <x:c r="F39" s="25" t="str">
        <x:v>无</x:v>
      </x:c>
      <x:c r="G39" s="25" t="str">
        <x:v>无</x:v>
      </x:c>
      <x:c r="H39" s="26" t="n">
        <x:f>H38*(1+B39)</x:f>
        <x:v>1.1606296219650658</x:v>
      </x:c>
      <x:c r="I39" s="27" t="n">
        <x:f>COUNTIFS('单币持仓'!$A$8:$A$367,A39,'单币持仓'!$C$8:$C$367,"续持调仓")</x:f>
        <x:v>0</x:v>
      </x:c>
    </x:row>
    <x:row r="40" ht="64.5" customHeight="1">
      <x:c r="A40" s="18" t="n">
        <x:v>46023</x:v>
      </x:c>
      <x:c r="B40" s="19" t="n">
        <x:v>0.5240529745108469</x:v>
      </x:c>
      <x:c r="C40" s="20" t="str">
        <x:v>CC、FHE、ICNT
JELLYJELLY、LYN、PIPPIN
PLAY、Q、RIVER
SKYAI</x:v>
      </x:c>
      <x:c r="D40" s="20" t="str">
        <x:v>CC、FHE、ICNT
JELLYJELLY、LYN、PLAY
Q、RIVER、SKYAI</x:v>
      </x:c>
      <x:c r="E40" s="20" t="str">
        <x:v>ALCH、ARC、BAT
BDXN、ESPORTS、PARTI
TNSR、TRADOOR、TRUTH</x:v>
      </x:c>
      <x:c r="F40" s="20" t="str">
        <x:v>PIPPIN</x:v>
      </x:c>
      <x:c r="G40" s="20" t="str">
        <x:v>无</x:v>
      </x:c>
      <x:c r="H40" s="21" t="n">
        <x:f>H39*(1+B40)</x:f>
        <x:v>1.7688610276612582</x:v>
      </x:c>
      <x:c r="I40" s="22" t="n">
        <x:f>COUNTIFS('单币持仓'!$A$8:$A$367,A40,'单币持仓'!$C$8:$C$367,"续持调仓")</x:f>
        <x:v>1</x:v>
      </x:c>
    </x:row>
    <x:row r="41" ht="64.5" customHeight="1">
      <x:c r="A41" s="23" t="n">
        <x:v>46054</x:v>
      </x:c>
      <x:c r="B41" s="24" t="n">
        <x:v>-0.37979868460272714</x:v>
      </x:c>
      <x:c r="C41" s="25" t="str">
        <x:v>AXS、BTR、BULLA
DUSK、FHE、GUN
HANA、PLAY、RIVER
SYN</x:v>
      </x:c>
      <x:c r="D41" s="25" t="str">
        <x:v>AXS、BTR、BULLA
DUSK、GUN、HANA
SYN</x:v>
      </x:c>
      <x:c r="E41" s="25" t="str">
        <x:v>CC、ICNT、JELLYJELLY
LYN、PIPPIN、Q
SKYAI</x:v>
      </x:c>
      <x:c r="F41" s="25" t="str">
        <x:v>FHE、PLAY
RIVER</x:v>
      </x:c>
      <x:c r="G41" s="25" t="str">
        <x:v>无</x:v>
      </x:c>
      <x:c r="H41" s="26" t="n">
        <x:f>H40*(1+B41)</x:f>
        <x:v>1.0970499361104842</x:v>
      </x:c>
      <x:c r="I41" s="27" t="n">
        <x:f>COUNTIFS('单币持仓'!$A$8:$A$367,A41,'单币持仓'!$C$8:$C$367,"续持调仓")</x:f>
        <x:v>3</x:v>
      </x:c>
    </x:row>
    <x:row r="42" ht="64.5" customHeight="1">
      <x:c r="A42" s="18" t="n">
        <x:v>46082</x:v>
      </x:c>
      <x:c r="B42" s="19" t="n">
        <x:v>-0.3061741278864881</x:v>
      </x:c>
      <x:c r="C42" s="20" t="str">
        <x:v>ALLO、BARD、DENT
KITE、LYN、MORPHO
PIPPIN、POWER、SIREN
VVV</x:v>
      </x:c>
      <x:c r="D42" s="20" t="str">
        <x:v>ALLO、BARD、DENT
KITE、LYN、MORPHO
PIPPIN、POWER、SIREN
VVV</x:v>
      </x:c>
      <x:c r="E42" s="20" t="str">
        <x:v>AXS、BTR、BULLA
DUSK、FHE、GUN
HANA、PLAY、RIVER
SYN</x:v>
      </x:c>
      <x:c r="F42" s="20" t="str">
        <x:v>无</x:v>
      </x:c>
      <x:c r="G42" s="20" t="str">
        <x:v>无</x:v>
      </x:c>
      <x:c r="H42" s="21" t="n">
        <x:f>H41*(1+B42)</x:f>
        <x:v>0.7611616286739292</x:v>
      </x:c>
      <x:c r="I42" s="22" t="n">
        <x:f>COUNTIFS('单币持仓'!$A$8:$A$367,A42,'单币持仓'!$C$8:$C$367,"续持调仓")</x:f>
        <x:v>0</x:v>
      </x:c>
    </x:row>
    <x:row r="43" ht="64.5" customHeight="1">
      <x:c r="A43" s="23" t="n">
        <x:v>46113</x:v>
      </x:c>
      <x:c r="B43" s="24" t="n">
        <x:v>0.14361990007478753</x:v>
      </x:c>
      <x:c r="C43" s="25" t="str">
        <x:v>ARC、ARIA、BANANAS31
BEAT、DEXE、NAORIS
ONT、PLAY、SIREN
STO</x:v>
      </x:c>
      <x:c r="D43" s="25" t="str">
        <x:v>ARC、ARIA、BANANAS31
BEAT、DEXE、NAORIS
ONT、PLAY、STO</x:v>
      </x:c>
      <x:c r="E43" s="25" t="str">
        <x:v>ALLO、BARD、DENT
KITE、LYN、MORPHO
PIPPIN、POWER、VVV</x:v>
      </x:c>
      <x:c r="F43" s="25" t="str">
        <x:v>SIREN</x:v>
      </x:c>
      <x:c r="G43" s="25" t="str">
        <x:v>无</x:v>
      </x:c>
      <x:c r="H43" s="26" t="n">
        <x:f>H42*(1+B43)</x:f>
        <x:v>0.8704795857248415</x:v>
      </x:c>
      <x:c r="I43" s="27" t="n">
        <x:f>COUNTIFS('单币持仓'!$A$8:$A$367,A43,'单币持仓'!$C$8:$C$367,"续持调仓")</x:f>
        <x:v>1</x:v>
      </x:c>
    </x:row>
    <x:row r="44" ht="64.5" customHeight="1">
      <x:c r="A44" s="18" t="n">
        <x:v>46143</x:v>
      </x:c>
      <x:c r="B44" s="19" t="n">
        <x:v>1.222635803772795</x:v>
      </x:c>
      <x:c r="C44" s="20" t="str">
        <x:v>AIOT、BSB、ENJ
LAB、SKYAI、SWARMS
TAC、UB、ZEREBRO
币安人生</x:v>
      </x:c>
      <x:c r="D44" s="20" t="str">
        <x:v>AIOT、BSB、ENJ
LAB、SKYAI、SWARMS
TAC、UB、ZEREBRO
币安人生</x:v>
      </x:c>
      <x:c r="E44" s="20" t="str">
        <x:v>ARC、ARIA、BANANAS31
BEAT、DEXE、NAORIS
ONT、PLAY、SIREN
STO</x:v>
      </x:c>
      <x:c r="F44" s="20" t="str">
        <x:v>无</x:v>
      </x:c>
      <x:c r="G44" s="20" t="str">
        <x:v>无</x:v>
      </x:c>
      <x:c r="H44" s="21" t="n">
        <x:f>H43*(1+B44)</x:f>
        <x:v>1.9347590936853427</x:v>
      </x:c>
      <x:c r="I44" s="22" t="n">
        <x:f>COUNTIFS('单币持仓'!$A$8:$A$367,A44,'单币持仓'!$C$8:$C$367,"续持调仓")</x:f>
        <x:v>0</x:v>
      </x:c>
    </x:row>
    <x:row r="45" ht="64.5" customHeight="1">
      <x:c r="A45" s="23" t="n">
        <x:v>46174</x:v>
      </x:c>
      <x:c r="B45" s="24" t="n">
        <x:v>-0.11775689008691193</x:v>
      </x:c>
      <x:c r="C45" s="25" t="str">
        <x:v>ALLO、BEAT、COLLECT
H、HOME、LAB
MU、PORTAL、UB
VVV</x:v>
      </x:c>
      <x:c r="D45" s="25" t="str">
        <x:v>ALLO、BEAT、COLLECT
H、HOME、MU
PORTAL、VVV</x:v>
      </x:c>
      <x:c r="E45" s="25" t="str">
        <x:v>AIOT、BSB、ENJ
SKYAI、SWARMS、TAC
ZEREBRO、币安人生</x:v>
      </x:c>
      <x:c r="F45" s="25" t="str">
        <x:v>LAB、UB</x:v>
      </x:c>
      <x:c r="G45" s="25" t="str">
        <x:v>无</x:v>
      </x:c>
      <x:c r="H45" s="26" t="n">
        <x:f>H44*(1+B45)</x:f>
        <x:v>1.7069278797455845</x:v>
      </x:c>
      <x:c r="I45" s="27" t="n">
        <x:f>COUNTIFS('单币持仓'!$A$8:$A$367,A45,'单币持仓'!$C$8:$C$367,"续持调仓")</x:f>
        <x:v>2</x:v>
      </x:c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</x:row>
    <x:row r="47">
      <x:c r="A47" s="29" t="str">
        <x:v>年度分段</x:v>
      </x:c>
      <x:c r="B47" s="29"/>
      <x:c r="C47" s="29"/>
      <x:c r="D47" s="29"/>
      <x:c r="E47" s="29"/>
      <x:c r="F47" s="29"/>
      <x:c r="G47" s="29"/>
      <x:c r="H47" s="29"/>
      <x:c r="I47" s="29"/>
    </x:row>
    <x:row r="48" ht="18.75" customHeight="1">
      <x:c r="A48" s="17" t="str">
        <x:v>区间</x:v>
      </x:c>
      <x:c r="B48" s="17" t="str">
        <x:v>月份数</x:v>
      </x:c>
      <x:c r="C48" s="17" t="str">
        <x:v>复合收益</x:v>
      </x:c>
      <x:c r="D48" s="17" t="str">
        <x:v>盈利月份</x:v>
      </x:c>
      <x:c r="E48" s="2"/>
      <x:c r="F48" s="2"/>
      <x:c r="G48" s="2"/>
      <x:c r="H48" s="2"/>
      <x:c r="I48" s="2"/>
    </x:row>
    <x:row r="49" ht="18.75" customHeight="1">
      <x:c r="A49" s="2" t="str">
        <x:v>2023H2</x:v>
      </x:c>
      <x:c r="B49" s="2" t="n">
        <x:v>6</x:v>
      </x:c>
      <x:c r="C49" s="5" t="n">
        <x:f>H15-1</x:f>
        <x:v>0.99475886479484</x:v>
      </x:c>
      <x:c r="D49" s="2" t="n">
        <x:f>COUNTIFS(B10:B15,"&gt;0")</x:f>
        <x:v>5</x:v>
      </x:c>
      <x:c r="E49" s="2"/>
      <x:c r="F49" s="2"/>
      <x:c r="G49" s="2"/>
      <x:c r="H49" s="2"/>
      <x:c r="I49" s="2"/>
    </x:row>
    <x:row r="50" ht="18.75" customHeight="1">
      <x:c r="A50" s="2" t="str">
        <x:v>2024</x:v>
      </x:c>
      <x:c r="B50" s="2" t="n">
        <x:v>12</x:v>
      </x:c>
      <x:c r="C50" s="5" t="n">
        <x:f>H27/H15-1</x:f>
        <x:v>0.05382594807866092</x:v>
      </x:c>
      <x:c r="D50" s="2" t="n">
        <x:f>COUNTIFS(B16:B27,"&gt;0")</x:f>
        <x:v>5</x:v>
      </x:c>
      <x:c r="E50" s="2"/>
      <x:c r="F50" s="2"/>
      <x:c r="G50" s="2"/>
      <x:c r="H50" s="2"/>
      <x:c r="I50" s="2"/>
    </x:row>
    <x:row r="51" ht="18.75" customHeight="1">
      <x:c r="A51" s="2" t="str">
        <x:v>2025</x:v>
      </x:c>
      <x:c r="B51" s="2" t="n">
        <x:v>12</x:v>
      </x:c>
      <x:c r="C51" s="5" t="n">
        <x:f>H39/H27-1</x:f>
        <x:v>-0.44787888175794</x:v>
      </x:c>
      <x:c r="D51" s="2" t="n">
        <x:f>COUNTIFS(B28:B39,"&gt;0")</x:f>
        <x:v>4</x:v>
      </x:c>
      <x:c r="E51" s="2"/>
      <x:c r="F51" s="2"/>
      <x:c r="G51" s="2"/>
      <x:c r="H51" s="2"/>
      <x:c r="I51" s="2"/>
    </x:row>
    <x:row r="52" ht="18.75" customHeight="1">
      <x:c r="A52" s="2" t="str">
        <x:v>2026H1</x:v>
      </x:c>
      <x:c r="B52" s="2" t="n">
        <x:v>6</x:v>
      </x:c>
      <x:c r="C52" s="5" t="n">
        <x:f>H45/H39-1</x:f>
        <x:v>0.4706912932788836</x:v>
      </x:c>
      <x:c r="D52" s="2" t="n">
        <x:f>COUNTIFS(B40:B45,"&gt;0")</x:f>
        <x:v>3</x:v>
      </x:c>
      <x:c r="E52" s="2"/>
      <x:c r="F52" s="2"/>
      <x:c r="G52" s="2"/>
      <x:c r="H52" s="2"/>
      <x:c r="I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</x:row>
    <x:row r="54">
      <x:c r="A54" s="4" t="str">
        <x:v>H2为下半年，H1为上半年。2026-07-01为样本结束清仓，不代表7月选币。收益不含完整资金费或日内强平模拟。</x:v>
      </x:c>
      <x:c r="B54" s="4"/>
      <x:c r="C54" s="4"/>
      <x:c r="D54" s="4"/>
      <x:c r="E54" s="4"/>
      <x:c r="F54" s="4"/>
      <x:c r="G54" s="4"/>
      <x:c r="H54" s="4"/>
      <x:c r="I54" s="4"/>
    </x:row>
    <x:row r="55">
      <x:c r="A55" s="4" t="str">
        <x:v>最大回撤区间：2024-04-01至2025-08-03。仅列本36个月内的日末与换仓边界采样。</x:v>
      </x:c>
      <x:c r="B55" s="4"/>
      <x:c r="C55" s="4"/>
      <x:c r="D55" s="4"/>
      <x:c r="E55" s="4"/>
      <x:c r="F55" s="4"/>
      <x:c r="G55" s="4"/>
      <x:c r="H55" s="4"/>
      <x:c r="I55" s="4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</x:row>
  </x:sheetData>
  <x:conditionalFormatting sqref="B10:B45">
    <x:cfRule type="cellIs" dxfId="0" priority="1" operator="lessThan">
      <x:formula>0</x:formula>
    </x:cfRule>
    <x:cfRule type="cellIs" dxfId="1" priority="2" operator="greater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ffcd3540270480a"/>
  </x:tableParts>
</x:worksheet>
</file>

<file path=xl/worksheets/sheet2.xml><?xml version="1.0" encoding="utf-8"?>
<x:worksheet xmlns:x="http://schemas.openxmlformats.org/spreadsheetml/2006/main">
  <x:sheetPr>
    <x:tabColor rgb="FFDACCB7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0.109999656677246" hidden="0" customWidth="1"/>
    <x:col min="2" max="2" width="14.779999732971191" hidden="0" customWidth="1"/>
    <x:col min="3" max="3" width="11.5600004196167" hidden="0" customWidth="1"/>
    <x:col min="4" max="4" width="13.890000343322754" hidden="0" customWidth="1"/>
    <x:col min="5" max="5" width="13.890000343322754" hidden="0" customWidth="1"/>
    <x:col min="6" max="6" width="11.779999732971191" hidden="0" customWidth="1"/>
    <x:col min="7" max="7" width="18" hidden="0" customWidth="1"/>
    <x:col min="8" max="8" width="26.440000534057617" hidden="0" customWidth="1"/>
    <x:col min="9" max="9" width="9.109999656677246" hidden="0" customWidth="1"/>
    <x:col min="10" max="10" width="15.890000343322754" hidden="0" customWidth="1"/>
    <x:col min="11" max="11" width="17.21999931335449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1.75" customHeight="1">
      <x:c r="A2" s="3" t="str">
        <x:v>360笔月持仓：参考价格、续持与退出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3" ht="16.5" customHeight="1">
      <x:c r="A3" s="4" t="str">
        <x:v>单币区间为当月00:15换仓至下次换仓或下架结算。边界价不表示全部卖出。以下价格盈亏未分摊费用、不含资金费。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16.5" customHeight="1">
      <x:c r="A4" s="4" t="str">
        <x:v>来源：2026-09-24已独立核对的Top10月频B0中心价格账户。360笔原始价格/数量逐行保留。</x:v>
      </x:c>
      <x:c r="B4" s="4"/>
      <x:c r="C4" s="4"/>
      <x:c r="D4" s="4"/>
      <x:c r="E4" s="4"/>
      <x:c r="F4" s="4"/>
      <x:c r="G4" s="4"/>
      <x:c r="H4" s="4"/>
      <x:c r="I4" s="4"/>
      <x:c r="J4" s="4"/>
      <x:c r="K4" s="4"/>
    </x:row>
    <x:row r="5" ht="16.5" customHeight="1">
      <x:c r="A5" s="4" t="str">
        <x:v>金额为原连续账户的实际USDT规模，不是三年前重新投入10万。月表为自然月收益，二者前后相差月初15分钟。</x:v>
      </x:c>
      <x:c r="B5" s="4"/>
      <x:c r="C5" s="4"/>
      <x:c r="D5" s="4"/>
      <x:c r="E5" s="4"/>
      <x:c r="F5" s="4"/>
      <x:c r="G5" s="4"/>
      <x:c r="H5" s="4"/>
      <x:c r="I5" s="4"/>
      <x:c r="J5" s="4"/>
      <x:c r="K5" s="4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</x:row>
    <x:row r="7" ht="24.75" customHeight="1">
      <x:c r="A7" s="17" t="str">
        <x:v>月份</x:v>
      </x:c>
      <x:c r="B7" s="17" t="str">
        <x:v>标的</x:v>
      </x:c>
      <x:c r="C7" s="17" t="str">
        <x:v>入选方式</x:v>
      </x:c>
      <x:c r="D7" s="17" t="str">
        <x:v>买入参考价</x:v>
      </x:c>
      <x:c r="E7" s="17" t="str">
        <x:v>退出/边界参考价</x:v>
      </x:c>
      <x:c r="F7" s="17" t="str">
        <x:v>单币价格涨跌</x:v>
      </x:c>
      <x:c r="G7" s="17" t="str">
        <x:v>退出/边界时刻 UTC</x:v>
      </x:c>
      <x:c r="H7" s="17" t="str">
        <x:v>退出说明</x:v>
      </x:c>
      <x:c r="I7" s="17" t="str">
        <x:v>初始权重</x:v>
      </x:c>
      <x:c r="J7" s="17" t="str">
        <x:v>持币数量</x:v>
      </x:c>
      <x:c r="K7" s="17" t="str">
        <x:v>价格盈亏 USDT</x:v>
      </x:c>
    </x:row>
    <x:row r="8" ht="19.5" customHeight="1">
      <x:c r="A8" s="18" t="n">
        <x:v>45108</x:v>
      </x:c>
      <x:c r="B8" s="35" t="str">
        <x:v>BCH</x:v>
      </x:c>
      <x:c r="C8" s="35" t="str">
        <x:v>新买入</x:v>
      </x:c>
      <x:c r="D8" s="49" t="n">
        <x:v>300.53</x:v>
      </x:c>
      <x:c r="E8" s="49" t="n">
        <x:v>245.53</x:v>
      </x:c>
      <x:c r="F8" s="19" t="n">
        <x:f>E8/D8-1</x:f>
        <x:v>-0.18301001563903763</x:v>
      </x:c>
      <x:c r="G8" s="50" t="n">
        <x:v>45139.010416666664</x:v>
      </x:c>
      <x:c r="H8" s="35" t="str">
        <x:v>下次换仓边界（非必然全卖）</x:v>
      </x:c>
      <x:c r="I8" s="53" t="n">
        <x:v>0.1</x:v>
      </x:c>
      <x:c r="J8" s="54" t="n">
        <x:v>199.774486824097</x:v>
      </x:c>
      <x:c r="K8" s="55" t="n">
        <x:f>J8*(E8-D8)</x:f>
        <x:v>-10987.59677532533</x:v>
      </x:c>
    </x:row>
    <x:row r="9" ht="19.5" customHeight="1">
      <x:c r="A9" s="23" t="n">
        <x:v>45108</x:v>
      </x:c>
      <x:c r="B9" s="42" t="str">
        <x:v>1000XEC</x:v>
      </x:c>
      <x:c r="C9" s="42" t="str">
        <x:v>新买入</x:v>
      </x:c>
      <x:c r="D9" s="51" t="n">
        <x:v>0.04175</x:v>
      </x:c>
      <x:c r="E9" s="51" t="n">
        <x:v>0.03096</x:v>
      </x:c>
      <x:c r="F9" s="24" t="n">
        <x:f>E9/D9-1</x:f>
        <x:v>-0.2584431137724551</x:v>
      </x:c>
      <x:c r="G9" s="52" t="n">
        <x:v>45139.010416666664</x:v>
      </x:c>
      <x:c r="H9" s="42" t="str">
        <x:v>下次换仓边界（非必然全卖）</x:v>
      </x:c>
      <x:c r="I9" s="56" t="n">
        <x:v>0.1</x:v>
      </x:c>
      <x:c r="J9" s="57" t="n">
        <x:v>1438041.3538981045</x:v>
      </x:c>
      <x:c r="K9" s="58" t="n">
        <x:f>J9*(E9-D9)</x:f>
        <x:v>-15516.466208560549</x:v>
      </x:c>
    </x:row>
    <x:row r="10" ht="19.5" customHeight="1">
      <x:c r="A10" s="18" t="n">
        <x:v>45108</x:v>
      </x:c>
      <x:c r="B10" s="35" t="str">
        <x:v>COMP</x:v>
      </x:c>
      <x:c r="C10" s="35" t="str">
        <x:v>新买入</x:v>
      </x:c>
      <x:c r="D10" s="49" t="n">
        <x:v>55.03</x:v>
      </x:c>
      <x:c r="E10" s="49" t="n">
        <x:v>65.74</x:v>
      </x:c>
      <x:c r="F10" s="19" t="n">
        <x:f>E10/D10-1</x:f>
        <x:v>0.1946211157550426</x:v>
      </x:c>
      <x:c r="G10" s="50" t="n">
        <x:v>45139.010416666664</x:v>
      </x:c>
      <x:c r="H10" s="35" t="str">
        <x:v>下次换仓边界（非必然全卖）</x:v>
      </x:c>
      <x:c r="I10" s="53" t="n">
        <x:v>0.1</x:v>
      </x:c>
      <x:c r="J10" s="54" t="n">
        <x:v>1091.0090228102101</x:v>
      </x:c>
      <x:c r="K10" s="55" t="n">
        <x:f>J10*(E10-D10)</x:f>
        <x:v>11684.706634297343</x:v>
      </x:c>
    </x:row>
    <x:row r="11" ht="19.5" customHeight="1">
      <x:c r="A11" s="23" t="n">
        <x:v>45108</x:v>
      </x:c>
      <x:c r="B11" s="42" t="str">
        <x:v>MKR</x:v>
      </x:c>
      <x:c r="C11" s="42" t="str">
        <x:v>新买入</x:v>
      </x:c>
      <x:c r="D11" s="51" t="n">
        <x:v>832.7</x:v>
      </x:c>
      <x:c r="E11" s="51" t="n">
        <x:v>1222.6</x:v>
      </x:c>
      <x:c r="F11" s="24" t="n">
        <x:f>E11/D11-1</x:f>
        <x:v>0.468235859253032</x:v>
      </x:c>
      <x:c r="G11" s="52" t="n">
        <x:v>45139.010416666664</x:v>
      </x:c>
      <x:c r="H11" s="42" t="str">
        <x:v>下次换仓边界（非必然全卖）</x:v>
      </x:c>
      <x:c r="I11" s="56" t="n">
        <x:v>0.1</x:v>
      </x:c>
      <x:c r="J11" s="57" t="n">
        <x:v>72.1006683382321</x:v>
      </x:c>
      <x:c r="K11" s="58" t="n">
        <x:f>J11*(E11-D11)</x:f>
        <x:v>28112.050585076686</x:v>
      </x:c>
    </x:row>
    <x:row r="12" ht="19.5" customHeight="1">
      <x:c r="A12" s="18" t="n">
        <x:v>45108</x:v>
      </x:c>
      <x:c r="B12" s="35" t="str">
        <x:v>1000PEPE</x:v>
      </x:c>
      <x:c r="C12" s="35" t="str">
        <x:v>新买入</x:v>
      </x:c>
      <x:c r="D12" s="49" t="n">
        <x:v>0.0016054</x:v>
      </x:c>
      <x:c r="E12" s="49" t="n">
        <x:v>0.0012545</x:v>
      </x:c>
      <x:c r="F12" s="19" t="n">
        <x:f>E12/D12-1</x:f>
        <x:v>-0.2185748100161954</x:v>
      </x:c>
      <x:c r="G12" s="50" t="n">
        <x:v>45139.010416666664</x:v>
      </x:c>
      <x:c r="H12" s="35" t="str">
        <x:v>下次换仓边界（非必然全卖）</x:v>
      </x:c>
      <x:c r="I12" s="53" t="n">
        <x:v>0.1</x:v>
      </x:c>
      <x:c r="J12" s="54" t="n">
        <x:v>37397674.42708725</x:v>
      </x:c>
      <x:c r="K12" s="55" t="n">
        <x:f>J12*(E12-D12)</x:f>
        <x:v>-13122.84395646492</x:v>
      </x:c>
    </x:row>
    <x:row r="13" ht="19.5" customHeight="1">
      <x:c r="A13" s="23" t="n">
        <x:v>45108</x:v>
      </x:c>
      <x:c r="B13" s="42" t="str">
        <x:v>MTL</x:v>
      </x:c>
      <x:c r="C13" s="42" t="str">
        <x:v>新买入</x:v>
      </x:c>
      <x:c r="D13" s="51" t="n">
        <x:v>1.2808</x:v>
      </x:c>
      <x:c r="E13" s="51" t="n">
        <x:v>1.3233</x:v>
      </x:c>
      <x:c r="F13" s="24" t="n">
        <x:f>E13/D13-1</x:f>
        <x:v>0.03318238600874457</x:v>
      </x:c>
      <x:c r="G13" s="52" t="n">
        <x:v>45139.010416666664</x:v>
      </x:c>
      <x:c r="H13" s="42" t="str">
        <x:v>下次换仓边界（非必然全卖）</x:v>
      </x:c>
      <x:c r="I13" s="56" t="n">
        <x:v>0.1</x:v>
      </x:c>
      <x:c r="J13" s="57" t="n">
        <x:v>46875.56724332126</x:v>
      </x:c>
      <x:c r="K13" s="58" t="n">
        <x:f>J13*(E13-D13)</x:f>
        <x:v>1992.2116078411527</x:v>
      </x:c>
    </x:row>
    <x:row r="14" ht="19.5" customHeight="1">
      <x:c r="A14" s="18" t="n">
        <x:v>45108</x:v>
      </x:c>
      <x:c r="B14" s="35" t="str">
        <x:v>LTC</x:v>
      </x:c>
      <x:c r="C14" s="35" t="str">
        <x:v>新买入</x:v>
      </x:c>
      <x:c r="D14" s="49" t="n">
        <x:v>108.24</x:v>
      </x:c>
      <x:c r="E14" s="49" t="n">
        <x:v>92.22</x:v>
      </x:c>
      <x:c r="F14" s="19" t="n">
        <x:f>E14/D14-1</x:f>
        <x:v>-0.1480044345898004</x:v>
      </x:c>
      <x:c r="G14" s="50" t="n">
        <x:v>45139.010416666664</x:v>
      </x:c>
      <x:c r="H14" s="35" t="str">
        <x:v>下次换仓边界（非必然全卖）</x:v>
      </x:c>
      <x:c r="I14" s="53" t="n">
        <x:v>0.1</x:v>
      </x:c>
      <x:c r="J14" s="54" t="n">
        <x:v>554.6768895532693</x:v>
      </x:c>
      <x:c r="K14" s="55" t="n">
        <x:f>J14*(E14-D14)</x:f>
        <x:v>-8885.923770643372</x:v>
      </x:c>
    </x:row>
    <x:row r="15" ht="19.5" customHeight="1">
      <x:c r="A15" s="23" t="n">
        <x:v>45108</x:v>
      </x:c>
      <x:c r="B15" s="42" t="str">
        <x:v>XLM</x:v>
      </x:c>
      <x:c r="C15" s="42" t="str">
        <x:v>新买入</x:v>
      </x:c>
      <x:c r="D15" s="51" t="n">
        <x:v>0.10979</x:v>
      </x:c>
      <x:c r="E15" s="51" t="n">
        <x:v>0.14995</x:v>
      </x:c>
      <x:c r="F15" s="24" t="n">
        <x:f>E15/D15-1</x:f>
        <x:v>0.3657892339921669</x:v>
      </x:c>
      <x:c r="G15" s="52" t="n">
        <x:v>45139.010416666664</x:v>
      </x:c>
      <x:c r="H15" s="42" t="str">
        <x:v>下次换仓边界（非必然全卖）</x:v>
      </x:c>
      <x:c r="I15" s="56" t="n">
        <x:v>0.1</x:v>
      </x:c>
      <x:c r="J15" s="57" t="n">
        <x:v>546846.0381204651</x:v>
      </x:c>
      <x:c r="K15" s="58" t="n">
        <x:f>J15*(E15-D15)</x:f>
        <x:v>21961.33689091788</x:v>
      </x:c>
    </x:row>
    <x:row r="16" ht="19.5" customHeight="1">
      <x:c r="A16" s="18" t="n">
        <x:v>45108</x:v>
      </x:c>
      <x:c r="B16" s="35" t="str">
        <x:v>ETC</x:v>
      </x:c>
      <x:c r="C16" s="35" t="str">
        <x:v>新买入</x:v>
      </x:c>
      <x:c r="D16" s="49" t="n">
        <x:v>21.688</x:v>
      </x:c>
      <x:c r="E16" s="49" t="n">
        <x:v>18.45</x:v>
      </x:c>
      <x:c r="F16" s="19" t="n">
        <x:f>E16/D16-1</x:f>
        <x:v>-0.14929915160457397</x:v>
      </x:c>
      <x:c r="G16" s="50" t="n">
        <x:v>45139.010416666664</x:v>
      </x:c>
      <x:c r="H16" s="35" t="str">
        <x:v>下次换仓边界（非必然全卖）</x:v>
      </x:c>
      <x:c r="I16" s="53" t="n">
        <x:v>0.1</x:v>
      </x:c>
      <x:c r="J16" s="54" t="n">
        <x:v>2768.2693897660397</x:v>
      </x:c>
      <x:c r="K16" s="55" t="n">
        <x:f>J16*(E16-D16)</x:f>
        <x:v>-8963.656284062436</x:v>
      </x:c>
    </x:row>
    <x:row r="17" ht="19.5" customHeight="1">
      <x:c r="A17" s="23" t="n">
        <x:v>45108</x:v>
      </x:c>
      <x:c r="B17" s="42" t="str">
        <x:v>XMR</x:v>
      </x:c>
      <x:c r="C17" s="42" t="str">
        <x:v>新买入</x:v>
      </x:c>
      <x:c r="D17" s="51" t="n">
        <x:v>168.2</x:v>
      </x:c>
      <x:c r="E17" s="51" t="n">
        <x:v>161.22</x:v>
      </x:c>
      <x:c r="F17" s="24" t="n">
        <x:f>E17/D17-1</x:f>
        <x:v>-0.04149821640903684</x:v>
      </x:c>
      <x:c r="G17" s="52" t="n">
        <x:v>45139.010416666664</x:v>
      </x:c>
      <x:c r="H17" s="42" t="str">
        <x:v>下次换仓边界（非必然全卖）</x:v>
      </x:c>
      <x:c r="I17" s="56" t="n">
        <x:v>0.1</x:v>
      </x:c>
      <x:c r="J17" s="57" t="n">
        <x:v>356.94546091109316</x:v>
      </x:c>
      <x:c r="K17" s="58" t="n">
        <x:f>J17*(E17-D17)</x:f>
        <x:v>-2491.4793171594265</x:v>
      </x:c>
    </x:row>
    <x:row r="18" ht="19.5" customHeight="1">
      <x:c r="A18" s="18" t="n">
        <x:v>45139</x:v>
      </x:c>
      <x:c r="B18" s="35" t="str">
        <x:v>STMX</x:v>
      </x:c>
      <x:c r="C18" s="35" t="str">
        <x:v>新买入</x:v>
      </x:c>
      <x:c r="D18" s="49" t="n">
        <x:v>0.00609</x:v>
      </x:c>
      <x:c r="E18" s="49" t="n">
        <x:v>0.00481</x:v>
      </x:c>
      <x:c r="F18" s="19" t="n">
        <x:f>E18/D18-1</x:f>
        <x:v>-0.2101806239737274</x:v>
      </x:c>
      <x:c r="G18" s="50" t="n">
        <x:v>45170.010416666664</x:v>
      </x:c>
      <x:c r="H18" s="35" t="str">
        <x:v>下次换仓边界（非必然全卖）</x:v>
      </x:c>
      <x:c r="I18" s="53" t="n">
        <x:v>0.1</x:v>
      </x:c>
      <x:c r="J18" s="54" t="n">
        <x:v>9898397.56627182</x:v>
      </x:c>
      <x:c r="K18" s="55" t="n">
        <x:f>J18*(E18-D18)</x:f>
        <x:v>-12669.948884827927</x:v>
      </x:c>
    </x:row>
    <x:row r="19" ht="19.5" customHeight="1">
      <x:c r="A19" s="23" t="n">
        <x:v>45139</x:v>
      </x:c>
      <x:c r="B19" s="42" t="str">
        <x:v>XRP</x:v>
      </x:c>
      <x:c r="C19" s="42" t="str">
        <x:v>新买入</x:v>
      </x:c>
      <x:c r="D19" s="51" t="n">
        <x:v>0.6951</x:v>
      </x:c>
      <x:c r="E19" s="51" t="n">
        <x:v>0.5112</x:v>
      </x:c>
      <x:c r="F19" s="24" t="n">
        <x:f>E19/D19-1</x:f>
        <x:v>-0.26456624946050933</x:v>
      </x:c>
      <x:c r="G19" s="52" t="n">
        <x:v>45170.010416666664</x:v>
      </x:c>
      <x:c r="H19" s="42" t="str">
        <x:v>下次换仓边界（非必然全卖）</x:v>
      </x:c>
      <x:c r="I19" s="56" t="n">
        <x:v>0.1</x:v>
      </x:c>
      <x:c r="J19" s="57" t="n">
        <x:v>86723.12067126366</x:v>
      </x:c>
      <x:c r="K19" s="58" t="n">
        <x:f>J19*(E19-D19)</x:f>
        <x:v>-15948.381891445393</x:v>
      </x:c>
    </x:row>
    <x:row r="20" ht="19.5" customHeight="1">
      <x:c r="A20" s="18" t="n">
        <x:v>45139</x:v>
      </x:c>
      <x:c r="B20" s="35" t="str">
        <x:v>MKR</x:v>
      </x:c>
      <x:c r="C20" s="35" t="str">
        <x:v>续持调仓</x:v>
      </x:c>
      <x:c r="D20" s="49" t="n">
        <x:v>1222.6</x:v>
      </x:c>
      <x:c r="E20" s="49" t="n">
        <x:v>1157.9</x:v>
      </x:c>
      <x:c r="F20" s="19" t="n">
        <x:f>E20/D20-1</x:f>
        <x:v>-0.052920006543431874</x:v>
      </x:c>
      <x:c r="G20" s="50" t="n">
        <x:v>45170.010416666664</x:v>
      </x:c>
      <x:c r="H20" s="35" t="str">
        <x:v>下次换仓边界（非必然全卖）</x:v>
      </x:c>
      <x:c r="I20" s="53" t="n">
        <x:v>0.1</x:v>
      </x:c>
      <x:c r="J20" s="54" t="n">
        <x:v>49.30577554277391</x:v>
      </x:c>
      <x:c r="K20" s="55" t="n">
        <x:f>J20*(E20-D20)</x:f>
        <x:v>-3190.083677617463</x:v>
      </x:c>
    </x:row>
    <x:row r="21" ht="19.5" customHeight="1">
      <x:c r="A21" s="23" t="n">
        <x:v>45139</x:v>
      </x:c>
      <x:c r="B21" s="42" t="str">
        <x:v>XLM</x:v>
      </x:c>
      <x:c r="C21" s="42" t="str">
        <x:v>续持调仓</x:v>
      </x:c>
      <x:c r="D21" s="51" t="n">
        <x:v>0.14995</x:v>
      </x:c>
      <x:c r="E21" s="51" t="n">
        <x:v>0.11539</x:v>
      </x:c>
      <x:c r="F21" s="24" t="n">
        <x:f>E21/D21-1</x:f>
        <x:v>-0.2304768256085361</x:v>
      </x:c>
      <x:c r="G21" s="52" t="n">
        <x:v>45170.010416666664</x:v>
      </x:c>
      <x:c r="H21" s="42" t="str">
        <x:v>下次换仓边界（非必然全卖）</x:v>
      </x:c>
      <x:c r="I21" s="56" t="n">
        <x:v>0.1</x:v>
      </x:c>
      <x:c r="J21" s="57" t="n">
        <x:v>402008.9441720265</x:v>
      </x:c>
      <x:c r="K21" s="58" t="n">
        <x:f>J21*(E21-D21)</x:f>
        <x:v>-13893.429110585232</x:v>
      </x:c>
    </x:row>
    <x:row r="22" ht="19.5" customHeight="1">
      <x:c r="A22" s="18" t="n">
        <x:v>45139</x:v>
      </x:c>
      <x:c r="B22" s="35" t="str">
        <x:v>TOMO</x:v>
      </x:c>
      <x:c r="C22" s="35" t="str">
        <x:v>新买入</x:v>
      </x:c>
      <x:c r="D22" s="49" t="n">
        <x:v>1.4241</x:v>
      </x:c>
      <x:c r="E22" s="49" t="n">
        <x:v>1.0995</x:v>
      </x:c>
      <x:c r="F22" s="19" t="n">
        <x:f>E22/D22-1</x:f>
        <x:v>-0.2279334316410364</x:v>
      </x:c>
      <x:c r="G22" s="50" t="n">
        <x:v>45170.010416666664</x:v>
      </x:c>
      <x:c r="H22" s="35" t="str">
        <x:v>下次换仓边界（非必然全卖）</x:v>
      </x:c>
      <x:c r="I22" s="53" t="n">
        <x:v>0.1</x:v>
      </x:c>
      <x:c r="J22" s="54" t="n">
        <x:v>42329.359720943314</x:v>
      </x:c>
      <x:c r="K22" s="55" t="n">
        <x:f>J22*(E22-D22)</x:f>
        <x:v>-13740.1101654182</x:v>
      </x:c>
    </x:row>
    <x:row r="23" ht="19.5" customHeight="1">
      <x:c r="A23" s="23" t="n">
        <x:v>45139</x:v>
      </x:c>
      <x:c r="B23" s="42" t="str">
        <x:v>KNC</x:v>
      </x:c>
      <x:c r="C23" s="42" t="str">
        <x:v>新买入</x:v>
      </x:c>
      <x:c r="D23" s="51" t="n">
        <x:v>0.724</x:v>
      </x:c>
      <x:c r="E23" s="51" t="n">
        <x:v>0.5087</x:v>
      </x:c>
      <x:c r="F23" s="24" t="n">
        <x:f>E23/D23-1</x:f>
        <x:v>-0.2973756906077347</x:v>
      </x:c>
      <x:c r="G23" s="52" t="n">
        <x:v>45170.010416666664</x:v>
      </x:c>
      <x:c r="H23" s="42" t="str">
        <x:v>下次换仓边界（非必然全卖）</x:v>
      </x:c>
      <x:c r="I23" s="56" t="n">
        <x:v>0.1</x:v>
      </x:c>
      <x:c r="J23" s="57" t="n">
        <x:v>83261.38284336378</x:v>
      </x:c>
      <x:c r="K23" s="58" t="n">
        <x:f>J23*(E23-D23)</x:f>
        <x:v>-17926.175726176218</x:v>
      </x:c>
    </x:row>
    <x:row r="24" ht="19.5" customHeight="1">
      <x:c r="A24" s="18" t="n">
        <x:v>45139</x:v>
      </x:c>
      <x:c r="B24" s="35" t="str">
        <x:v>OGN</x:v>
      </x:c>
      <x:c r="C24" s="35" t="str">
        <x:v>新买入</x:v>
      </x:c>
      <x:c r="D24" s="49" t="n">
        <x:v>0.1031</x:v>
      </x:c>
      <x:c r="E24" s="49" t="n">
        <x:v>0.075</x:v>
      </x:c>
      <x:c r="F24" s="19" t="n">
        <x:f>E24/D24-1</x:f>
        <x:v>-0.2725509214354995</x:v>
      </x:c>
      <x:c r="G24" s="50" t="n">
        <x:v>45170.010416666664</x:v>
      </x:c>
      <x:c r="H24" s="35" t="str">
        <x:v>下次换仓边界（非必然全卖）</x:v>
      </x:c>
      <x:c r="I24" s="53" t="n">
        <x:v>0.1</x:v>
      </x:c>
      <x:c r="J24" s="54" t="n">
        <x:v>584687.1113345817</x:v>
      </x:c>
      <x:c r="K24" s="55" t="n">
        <x:f>J24*(E24-D24)</x:f>
        <x:v>-16429.70782850175</x:v>
      </x:c>
    </x:row>
    <x:row r="25" ht="19.5" customHeight="1">
      <x:c r="A25" s="23" t="n">
        <x:v>45139</x:v>
      </x:c>
      <x:c r="B25" s="42" t="str">
        <x:v>SOL</x:v>
      </x:c>
      <x:c r="C25" s="42" t="str">
        <x:v>新买入</x:v>
      </x:c>
      <x:c r="D25" s="51" t="n">
        <x:v>23.732</x:v>
      </x:c>
      <x:c r="E25" s="51" t="n">
        <x:v>19.776</x:v>
      </x:c>
      <x:c r="F25" s="24" t="n">
        <x:f>E25/D25-1</x:f>
        <x:v>-0.16669475813247936</x:v>
      </x:c>
      <x:c r="G25" s="52" t="n">
        <x:v>45170.010416666664</x:v>
      </x:c>
      <x:c r="H25" s="42" t="str">
        <x:v>下次换仓边界（非必然全卖）</x:v>
      </x:c>
      <x:c r="I25" s="56" t="n">
        <x:v>0.1</x:v>
      </x:c>
      <x:c r="J25" s="57" t="n">
        <x:v>2540.0826385721966</x:v>
      </x:c>
      <x:c r="K25" s="58" t="n">
        <x:f>J25*(E25-D25)</x:f>
        <x:v>-10048.56691819161</x:v>
      </x:c>
    </x:row>
    <x:row r="26" ht="19.5" customHeight="1">
      <x:c r="A26" s="18" t="n">
        <x:v>45139</x:v>
      </x:c>
      <x:c r="B26" s="35" t="str">
        <x:v>UNI</x:v>
      </x:c>
      <x:c r="C26" s="35" t="str">
        <x:v>新买入</x:v>
      </x:c>
      <x:c r="D26" s="49" t="n">
        <x:v>6.496</x:v>
      </x:c>
      <x:c r="E26" s="49" t="n">
        <x:v>4.378</x:v>
      </x:c>
      <x:c r="F26" s="19" t="n">
        <x:f>E26/D26-1</x:f>
        <x:v>-0.3260467980295567</x:v>
      </x:c>
      <x:c r="G26" s="50" t="n">
        <x:v>45170.010416666664</x:v>
      </x:c>
      <x:c r="H26" s="35" t="str">
        <x:v>下次换仓边界（非必然全卖）</x:v>
      </x:c>
      <x:c r="I26" s="53" t="n">
        <x:v>0.1</x:v>
      </x:c>
      <x:c r="J26" s="54" t="n">
        <x:v>9279.74771837983</x:v>
      </x:c>
      <x:c r="K26" s="55" t="n">
        <x:f>J26*(E26-D26)</x:f>
        <x:v>-19654.50566752848</x:v>
      </x:c>
    </x:row>
    <x:row r="27" ht="19.5" customHeight="1">
      <x:c r="A27" s="23" t="n">
        <x:v>45139</x:v>
      </x:c>
      <x:c r="B27" s="42" t="str">
        <x:v>ASTR</x:v>
      </x:c>
      <x:c r="C27" s="42" t="str">
        <x:v>新买入</x:v>
      </x:c>
      <x:c r="D27" s="51" t="n">
        <x:v>0.05367</x:v>
      </x:c>
      <x:c r="E27" s="51" t="n">
        <x:v>0.05677</x:v>
      </x:c>
      <x:c r="F27" s="24" t="n">
        <x:f>E27/D27-1</x:f>
        <x:v>0.05776038755356816</x:v>
      </x:c>
      <x:c r="G27" s="52" t="n">
        <x:v>45170.010416666664</x:v>
      </x:c>
      <x:c r="H27" s="42" t="str">
        <x:v>下次换仓边界（非必然全卖）</x:v>
      </x:c>
      <x:c r="I27" s="56" t="n">
        <x:v>0.1</x:v>
      </x:c>
      <x:c r="J27" s="57" t="n">
        <x:v>1123183.1782857345</x:v>
      </x:c>
      <x:c r="K27" s="58" t="n">
        <x:f>J27*(E27-D27)</x:f>
        <x:v>3481.8678526857752</x:v>
      </x:c>
    </x:row>
    <x:row r="28" ht="19.5" customHeight="1">
      <x:c r="A28" s="18" t="n">
        <x:v>45170</x:v>
      </x:c>
      <x:c r="B28" s="35" t="str">
        <x:v>UNFI</x:v>
      </x:c>
      <x:c r="C28" s="35" t="str">
        <x:v>新买入</x:v>
      </x:c>
      <x:c r="D28" s="49" t="n">
        <x:v>7.516</x:v>
      </x:c>
      <x:c r="E28" s="49" t="n">
        <x:v>6.741</x:v>
      </x:c>
      <x:c r="F28" s="19" t="n">
        <x:f>E28/D28-1</x:f>
        <x:v>-0.10311335816923906</x:v>
      </x:c>
      <x:c r="G28" s="50" t="n">
        <x:v>45200.010416666664</x:v>
      </x:c>
      <x:c r="H28" s="35" t="str">
        <x:v>下次换仓边界（非必然全卖）</x:v>
      </x:c>
      <x:c r="I28" s="53" t="n">
        <x:v>0.1</x:v>
      </x:c>
      <x:c r="J28" s="54" t="n">
        <x:v>6405.5806045388435</x:v>
      </x:c>
      <x:c r="K28" s="55" t="n">
        <x:f>J28*(E28-D28)</x:f>
        <x:v>-4964.324968517606</x:v>
      </x:c>
    </x:row>
    <x:row r="29" ht="19.5" customHeight="1">
      <x:c r="A29" s="23" t="n">
        <x:v>45170</x:v>
      </x:c>
      <x:c r="B29" s="42" t="str">
        <x:v>BLZ</x:v>
      </x:c>
      <x:c r="C29" s="42" t="str">
        <x:v>新买入</x:v>
      </x:c>
      <x:c r="D29" s="51" t="n">
        <x:v>0.11247</x:v>
      </x:c>
      <x:c r="E29" s="51" t="n">
        <x:v>0.14974</x:v>
      </x:c>
      <x:c r="F29" s="24" t="n">
        <x:f>E29/D29-1</x:f>
        <x:v>0.3313772561571975</x:v>
      </x:c>
      <x:c r="G29" s="52" t="n">
        <x:v>45200.010416666664</x:v>
      </x:c>
      <x:c r="H29" s="42" t="str">
        <x:v>下次换仓边界（非必然全卖）</x:v>
      </x:c>
      <x:c r="I29" s="56" t="n">
        <x:v>0.1</x:v>
      </x:c>
      <x:c r="J29" s="57" t="n">
        <x:v>428063.8732436556</x:v>
      </x:c>
      <x:c r="K29" s="58" t="n">
        <x:f>J29*(E29-D29)</x:f>
        <x:v>15953.940555791049</x:v>
      </x:c>
    </x:row>
    <x:row r="30" ht="19.5" customHeight="1">
      <x:c r="A30" s="18" t="n">
        <x:v>45170</x:v>
      </x:c>
      <x:c r="B30" s="35" t="str">
        <x:v>LPT</x:v>
      </x:c>
      <x:c r="C30" s="35" t="str">
        <x:v>新买入</x:v>
      </x:c>
      <x:c r="D30" s="49" t="n">
        <x:v>6.963</x:v>
      </x:c>
      <x:c r="E30" s="49" t="n">
        <x:v>5.453</x:v>
      </x:c>
      <x:c r="F30" s="19" t="n">
        <x:f>E30/D30-1</x:f>
        <x:v>-0.2168605486141031</x:v>
      </x:c>
      <x:c r="G30" s="50" t="n">
        <x:v>45200.010416666664</x:v>
      </x:c>
      <x:c r="H30" s="35" t="str">
        <x:v>下次换仓边界（非必然全卖）</x:v>
      </x:c>
      <x:c r="I30" s="53" t="n">
        <x:v>0.1</x:v>
      </x:c>
      <x:c r="J30" s="54" t="n">
        <x:v>6914.3104730308705</x:v>
      </x:c>
      <x:c r="K30" s="55" t="n">
        <x:f>J30*(E30-D30)</x:f>
        <x:v>-10440.608814276613</x:v>
      </x:c>
    </x:row>
    <x:row r="31" ht="19.5" customHeight="1">
      <x:c r="A31" s="23" t="n">
        <x:v>45170</x:v>
      </x:c>
      <x:c r="B31" s="42" t="str">
        <x:v>RUNE</x:v>
      </x:c>
      <x:c r="C31" s="42" t="str">
        <x:v>新买入</x:v>
      </x:c>
      <x:c r="D31" s="51" t="n">
        <x:v>1.503</x:v>
      </x:c>
      <x:c r="E31" s="51" t="n">
        <x:v>1.931</x:v>
      </x:c>
      <x:c r="F31" s="24" t="n">
        <x:f>E31/D31-1</x:f>
        <x:v>0.28476380572188975</x:v>
      </x:c>
      <x:c r="G31" s="52" t="n">
        <x:v>45200.010416666664</x:v>
      </x:c>
      <x:c r="H31" s="42" t="str">
        <x:v>下次换仓边界（非必然全卖）</x:v>
      </x:c>
      <x:c r="I31" s="56" t="n">
        <x:v>0.1</x:v>
      </x:c>
      <x:c r="J31" s="57" t="n">
        <x:v>32032.164886037226</x:v>
      </x:c>
      <x:c r="K31" s="58" t="n">
        <x:f>J31*(E31-D31)</x:f>
        <x:v>13709.766571223938</x:v>
      </x:c>
    </x:row>
    <x:row r="32" ht="19.5" customHeight="1">
      <x:c r="A32" s="18" t="n">
        <x:v>45170</x:v>
      </x:c>
      <x:c r="B32" s="35" t="str">
        <x:v>TRB</x:v>
      </x:c>
      <x:c r="C32" s="35" t="str">
        <x:v>新买入</x:v>
      </x:c>
      <x:c r="D32" s="49" t="n">
        <x:v>14.861</x:v>
      </x:c>
      <x:c r="E32" s="49" t="n">
        <x:v>52.434</x:v>
      </x:c>
      <x:c r="F32" s="19" t="n">
        <x:f>E32/D32-1</x:f>
        <x:v>2.5282955386582326</x:v>
      </x:c>
      <x:c r="G32" s="50" t="n">
        <x:v>45200.010416666664</x:v>
      </x:c>
      <x:c r="H32" s="35" t="str">
        <x:v>下次换仓边界（非必然全卖）</x:v>
      </x:c>
      <x:c r="I32" s="53" t="n">
        <x:v>0.1</x:v>
      </x:c>
      <x:c r="J32" s="54" t="n">
        <x:v>3239.6436191180906</x:v>
      </x:c>
      <x:c r="K32" s="55" t="n">
        <x:f>J32*(E32-D32)</x:f>
        <x:v>121723.129701124</x:v>
      </x:c>
    </x:row>
    <x:row r="33" ht="19.5" customHeight="1">
      <x:c r="A33" s="23" t="n">
        <x:v>45170</x:v>
      </x:c>
      <x:c r="B33" s="42" t="str">
        <x:v>SFP</x:v>
      </x:c>
      <x:c r="C33" s="42" t="str">
        <x:v>新买入</x:v>
      </x:c>
      <x:c r="D33" s="51" t="n">
        <x:v>0.5175</x:v>
      </x:c>
      <x:c r="E33" s="51" t="n">
        <x:v>0.5642</x:v>
      </x:c>
      <x:c r="F33" s="24" t="n">
        <x:f>E33/D33-1</x:f>
        <x:v>0.09024154589372002</x:v>
      </x:c>
      <x:c r="G33" s="52" t="n">
        <x:v>45200.010416666664</x:v>
      </x:c>
      <x:c r="H33" s="42" t="str">
        <x:v>下次换仓边界（非必然全卖）</x:v>
      </x:c>
      <x:c r="I33" s="56" t="n">
        <x:v>0.1</x:v>
      </x:c>
      <x:c r="J33" s="57" t="n">
        <x:v>93032.54845162116</x:v>
      </x:c>
      <x:c r="K33" s="58" t="n">
        <x:f>J33*(E33-D33)</x:f>
        <x:v>4344.620012690715</x:v>
      </x:c>
    </x:row>
    <x:row r="34" ht="19.5" customHeight="1">
      <x:c r="A34" s="18" t="n">
        <x:v>45170</x:v>
      </x:c>
      <x:c r="B34" s="35" t="str">
        <x:v>API3</x:v>
      </x:c>
      <x:c r="C34" s="35" t="str">
        <x:v>新买入</x:v>
      </x:c>
      <x:c r="D34" s="49" t="n">
        <x:v>1.1582</x:v>
      </x:c>
      <x:c r="E34" s="49" t="n">
        <x:v>1.1216</x:v>
      </x:c>
      <x:c r="F34" s="19" t="n">
        <x:f>E34/D34-1</x:f>
        <x:v>-0.031600759799689127</x:v>
      </x:c>
      <x:c r="G34" s="50" t="n">
        <x:v>45200.010416666664</x:v>
      </x:c>
      <x:c r="H34" s="35" t="str">
        <x:v>下次换仓边界（非必然全卖）</x:v>
      </x:c>
      <x:c r="I34" s="53" t="n">
        <x:v>0.1</x:v>
      </x:c>
      <x:c r="J34" s="54" t="n">
        <x:v>41568.24712805556</x:v>
      </x:c>
      <x:c r="K34" s="55" t="n">
        <x:f>J34*(E34-D34)</x:f>
        <x:v>-1521.3978448868322</x:v>
      </x:c>
    </x:row>
    <x:row r="35" ht="19.5" customHeight="1">
      <x:c r="A35" s="23" t="n">
        <x:v>45170</x:v>
      </x:c>
      <x:c r="B35" s="42" t="str">
        <x:v>AMB</x:v>
      </x:c>
      <x:c r="C35" s="42" t="str">
        <x:v>新买入</x:v>
      </x:c>
      <x:c r="D35" s="51" t="n">
        <x:v>0.007494</x:v>
      </x:c>
      <x:c r="E35" s="51" t="n">
        <x:v>0.011094</x:v>
      </x:c>
      <x:c r="F35" s="24" t="n">
        <x:f>E35/D35-1</x:f>
        <x:v>0.48038430744595684</x:v>
      </x:c>
      <x:c r="G35" s="52" t="n">
        <x:v>45200.010416666664</x:v>
      </x:c>
      <x:c r="H35" s="42" t="str">
        <x:v>下次换仓边界（非必然全卖）</x:v>
      </x:c>
      <x:c r="I35" s="56" t="n">
        <x:v>0.1</x:v>
      </x:c>
      <x:c r="J35" s="57" t="n">
        <x:v>6424385.351443014</x:v>
      </x:c>
      <x:c r="K35" s="58" t="n">
        <x:f>J35*(E35-D35)</x:f>
        <x:v>23127.78726519485</x:v>
      </x:c>
    </x:row>
    <x:row r="36" ht="19.5" customHeight="1">
      <x:c r="A36" s="18" t="n">
        <x:v>45170</x:v>
      </x:c>
      <x:c r="B36" s="35" t="str">
        <x:v>LEVER</x:v>
      </x:c>
      <x:c r="C36" s="35" t="str">
        <x:v>新买入</x:v>
      </x:c>
      <x:c r="D36" s="49" t="n">
        <x:v>0.001312</x:v>
      </x:c>
      <x:c r="E36" s="49" t="n">
        <x:v>0.002471</x:v>
      </x:c>
      <x:c r="F36" s="19" t="n">
        <x:f>E36/D36-1</x:f>
        <x:v>0.8833841463414636</x:v>
      </x:c>
      <x:c r="G36" s="50" t="n">
        <x:v>45200.010416666664</x:v>
      </x:c>
      <x:c r="H36" s="35" t="str">
        <x:v>下次换仓边界（非必然全卖）</x:v>
      </x:c>
      <x:c r="I36" s="53" t="n">
        <x:v>0.1</x:v>
      </x:c>
      <x:c r="J36" s="54" t="n">
        <x:v>36695384.01197709</x:v>
      </x:c>
      <x:c r="K36" s="55" t="n">
        <x:f>J36*(E36-D36)</x:f>
        <x:v>42529.95006988145</x:v>
      </x:c>
    </x:row>
    <x:row r="37" ht="19.5" customHeight="1">
      <x:c r="A37" s="23" t="n">
        <x:v>45170</x:v>
      </x:c>
      <x:c r="B37" s="42" t="str">
        <x:v>FET</x:v>
      </x:c>
      <x:c r="C37" s="42" t="str">
        <x:v>新买入</x:v>
      </x:c>
      <x:c r="D37" s="51" t="n">
        <x:v>0.2324</x:v>
      </x:c>
      <x:c r="E37" s="51" t="n">
        <x:v>0.2232</x:v>
      </x:c>
      <x:c r="F37" s="24" t="n">
        <x:f>E37/D37-1</x:f>
        <x:v>-0.03958691910499135</x:v>
      </x:c>
      <x:c r="G37" s="52" t="n">
        <x:v>45200.010416666664</x:v>
      </x:c>
      <x:c r="H37" s="42" t="str">
        <x:v>下次换仓边界（非必然全卖）</x:v>
      </x:c>
      <x:c r="I37" s="56" t="n">
        <x:v>0.1</x:v>
      </x:c>
      <x:c r="J37" s="57" t="n">
        <x:v>207161.54829481046</x:v>
      </x:c>
      <x:c r="K37" s="58" t="n">
        <x:f>J37*(E37-D37)</x:f>
        <x:v>-1905.8862443122534</x:v>
      </x:c>
    </x:row>
    <x:row r="38" ht="19.5" customHeight="1">
      <x:c r="A38" s="18" t="n">
        <x:v>45200</x:v>
      </x:c>
      <x:c r="B38" s="35" t="str">
        <x:v>TRB</x:v>
      </x:c>
      <x:c r="C38" s="35" t="str">
        <x:v>续持调仓</x:v>
      </x:c>
      <x:c r="D38" s="49" t="n">
        <x:v>52.434</x:v>
      </x:c>
      <x:c r="E38" s="49" t="n">
        <x:v>112.154</x:v>
      </x:c>
      <x:c r="F38" s="19" t="n">
        <x:f>E38/D38-1</x:f>
        <x:v>1.1389556394705727</x:v>
      </x:c>
      <x:c r="G38" s="50" t="n">
        <x:v>45231.010416666664</x:v>
      </x:c>
      <x:c r="H38" s="35" t="str">
        <x:v>下次换仓边界（非必然全卖）</x:v>
      </x:c>
      <x:c r="I38" s="53" t="n">
        <x:v>0.1</x:v>
      </x:c>
      <x:c r="J38" s="54" t="n">
        <x:v>1301.9424878270152</x:v>
      </x:c>
      <x:c r="K38" s="55" t="n">
        <x:f>J38*(E38-D38)</x:f>
        <x:v>77752.00537302934</x:v>
      </x:c>
    </x:row>
    <x:row r="39" ht="19.5" customHeight="1">
      <x:c r="A39" s="23" t="n">
        <x:v>45200</x:v>
      </x:c>
      <x:c r="B39" s="42" t="str">
        <x:v>LEVER</x:v>
      </x:c>
      <x:c r="C39" s="42" t="str">
        <x:v>续持调仓</x:v>
      </x:c>
      <x:c r="D39" s="51" t="n">
        <x:v>0.002471</x:v>
      </x:c>
      <x:c r="E39" s="51" t="n">
        <x:v>0.001345</x:v>
      </x:c>
      <x:c r="F39" s="24" t="n">
        <x:f>E39/D39-1</x:f>
        <x:v>-0.4556859571023877</x:v>
      </x:c>
      <x:c r="G39" s="52" t="n">
        <x:v>45231.010416666664</x:v>
      </x:c>
      <x:c r="H39" s="42" t="str">
        <x:v>下次换仓边界（非必然全卖）</x:v>
      </x:c>
      <x:c r="I39" s="56" t="n">
        <x:v>0.1</x:v>
      </x:c>
      <x:c r="J39" s="57" t="n">
        <x:v>27626892.92056726</x:v>
      </x:c>
      <x:c r="K39" s="58" t="n">
        <x:f>J39*(E39-D39)</x:f>
        <x:v>-31107.881428558736</x:v>
      </x:c>
    </x:row>
    <x:row r="40" ht="19.5" customHeight="1">
      <x:c r="A40" s="18" t="n">
        <x:v>45200</x:v>
      </x:c>
      <x:c r="B40" s="35" t="str">
        <x:v>STORJ</x:v>
      </x:c>
      <x:c r="C40" s="35" t="str">
        <x:v>新买入</x:v>
      </x:c>
      <x:c r="D40" s="49" t="n">
        <x:v>0.4124</x:v>
      </x:c>
      <x:c r="E40" s="49" t="n">
        <x:v>0.4348</x:v>
      </x:c>
      <x:c r="F40" s="19" t="n">
        <x:f>E40/D40-1</x:f>
        <x:v>0.054316197866149496</x:v>
      </x:c>
      <x:c r="G40" s="50" t="n">
        <x:v>45231.010416666664</x:v>
      </x:c>
      <x:c r="H40" s="35" t="str">
        <x:v>下次换仓边界（非必然全卖）</x:v>
      </x:c>
      <x:c r="I40" s="53" t="n">
        <x:v>0.1</x:v>
      </x:c>
      <x:c r="J40" s="54" t="n">
        <x:v>165533.5897350187</x:v>
      </x:c>
      <x:c r="K40" s="55" t="n">
        <x:f>J40*(E40-D40)</x:f>
        <x:v>3707.952410064424</x:v>
      </x:c>
    </x:row>
    <x:row r="41" ht="19.5" customHeight="1">
      <x:c r="A41" s="23" t="n">
        <x:v>45200</x:v>
      </x:c>
      <x:c r="B41" s="42" t="str">
        <x:v>OGN</x:v>
      </x:c>
      <x:c r="C41" s="42" t="str">
        <x:v>新买入</x:v>
      </x:c>
      <x:c r="D41" s="51" t="n">
        <x:v>0.1322</x:v>
      </x:c>
      <x:c r="E41" s="51" t="n">
        <x:v>0.1187</x:v>
      </x:c>
      <x:c r="F41" s="24" t="n">
        <x:f>E41/D41-1</x:f>
        <x:v>-0.10211800302571872</x:v>
      </x:c>
      <x:c r="G41" s="52" t="n">
        <x:v>45231.010416666664</x:v>
      </x:c>
      <x:c r="H41" s="42" t="str">
        <x:v>下次换仓边界（非必然全卖）</x:v>
      </x:c>
      <x:c r="I41" s="56" t="n">
        <x:v>0.1</x:v>
      </x:c>
      <x:c r="J41" s="57" t="n">
        <x:v>516384.6626832201</x:v>
      </x:c>
      <x:c r="K41" s="58" t="n">
        <x:f>J41*(E41-D41)</x:f>
        <x:v>-6971.1929462234775</x:v>
      </x:c>
    </x:row>
    <x:row r="42" ht="19.5" customHeight="1">
      <x:c r="A42" s="18" t="n">
        <x:v>45200</x:v>
      </x:c>
      <x:c r="B42" s="35" t="str">
        <x:v>AMB</x:v>
      </x:c>
      <x:c r="C42" s="35" t="str">
        <x:v>续持调仓</x:v>
      </x:c>
      <x:c r="D42" s="49" t="n">
        <x:v>0.011094</x:v>
      </x:c>
      <x:c r="E42" s="49" t="n">
        <x:v>0.008459</x:v>
      </x:c>
      <x:c r="F42" s="19" t="n">
        <x:f>E42/D42-1</x:f>
        <x:v>-0.23751577429241033</x:v>
      </x:c>
      <x:c r="G42" s="50" t="n">
        <x:v>45231.010416666664</x:v>
      </x:c>
      <x:c r="H42" s="35" t="str">
        <x:v>下次换仓边界（非必然全卖）</x:v>
      </x:c>
      <x:c r="I42" s="53" t="n">
        <x:v>0.1</x:v>
      </x:c>
      <x:c r="J42" s="54" t="n">
        <x:v>6153420.984921733</x:v>
      </x:c>
      <x:c r="K42" s="55" t="n">
        <x:f>J42*(E42-D42)</x:f>
        <x:v>-16214.264295268767</x:v>
      </x:c>
    </x:row>
    <x:row r="43" ht="19.5" customHeight="1">
      <x:c r="A43" s="23" t="n">
        <x:v>45200</x:v>
      </x:c>
      <x:c r="B43" s="42" t="str">
        <x:v>WLD</x:v>
      </x:c>
      <x:c r="C43" s="42" t="str">
        <x:v>新买入</x:v>
      </x:c>
      <x:c r="D43" s="51" t="n">
        <x:v>1.6768</x:v>
      </x:c>
      <x:c r="E43" s="51" t="n">
        <x:v>2.0224</x:v>
      </x:c>
      <x:c r="F43" s="24" t="n">
        <x:f>E43/D43-1</x:f>
        <x:v>0.20610687022900764</x:v>
      </x:c>
      <x:c r="G43" s="52" t="n">
        <x:v>45231.010416666664</x:v>
      </x:c>
      <x:c r="H43" s="42" t="str">
        <x:v>下次换仓边界（非必然全卖）</x:v>
      </x:c>
      <x:c r="I43" s="56" t="n">
        <x:v>0.1</x:v>
      </x:c>
      <x:c r="J43" s="57" t="n">
        <x:v>40712.10186469567</x:v>
      </x:c>
      <x:c r="K43" s="58" t="n">
        <x:f>J43*(E43-D43)</x:f>
        <x:v>14070.10240443883</x:v>
      </x:c>
    </x:row>
    <x:row r="44" ht="19.5" customHeight="1">
      <x:c r="A44" s="18" t="n">
        <x:v>45200</x:v>
      </x:c>
      <x:c r="B44" s="35" t="str">
        <x:v>PERP</x:v>
      </x:c>
      <x:c r="C44" s="35" t="str">
        <x:v>新买入</x:v>
      </x:c>
      <x:c r="D44" s="49" t="n">
        <x:v>0.6148</x:v>
      </x:c>
      <x:c r="E44" s="49" t="n">
        <x:v>0.5863</x:v>
      </x:c>
      <x:c r="F44" s="19" t="n">
        <x:f>E44/D44-1</x:f>
        <x:v>-0.04635653871177614</x:v>
      </x:c>
      <x:c r="G44" s="50" t="n">
        <x:v>45231.010416666664</x:v>
      </x:c>
      <x:c r="H44" s="35" t="str">
        <x:v>下次换仓边界（非必然全卖）</x:v>
      </x:c>
      <x:c r="I44" s="53" t="n">
        <x:v>0.1</x:v>
      </x:c>
      <x:c r="J44" s="54" t="n">
        <x:v>111037.82109095917</x:v>
      </x:c>
      <x:c r="K44" s="55" t="n">
        <x:f>J44*(E44-D44)</x:f>
        <x:v>-3164.577901092333</x:v>
      </x:c>
    </x:row>
    <x:row r="45" ht="19.5" customHeight="1">
      <x:c r="A45" s="23" t="n">
        <x:v>45200</x:v>
      </x:c>
      <x:c r="B45" s="42" t="str">
        <x:v>FLM</x:v>
      </x:c>
      <x:c r="C45" s="42" t="str">
        <x:v>新买入</x:v>
      </x:c>
      <x:c r="D45" s="51" t="n">
        <x:v>0.0797</x:v>
      </x:c>
      <x:c r="E45" s="51" t="n">
        <x:v>0.0813</x:v>
      </x:c>
      <x:c r="F45" s="24" t="n">
        <x:f>E45/D45-1</x:f>
        <x:v>0.020075282308657627</x:v>
      </x:c>
      <x:c r="G45" s="52" t="n">
        <x:v>45231.010416666664</x:v>
      </x:c>
      <x:c r="H45" s="42" t="str">
        <x:v>下次换仓边界（非必然全卖）</x:v>
      </x:c>
      <x:c r="I45" s="56" t="n">
        <x:v>0.1</x:v>
      </x:c>
      <x:c r="J45" s="57" t="n">
        <x:v>856537.6713515898</x:v>
      </x:c>
      <x:c r="K45" s="58" t="n">
        <x:f>J45*(E45-D45)</x:f>
        <x:v>1370.4602741625474</x:v>
      </x:c>
    </x:row>
    <x:row r="46" ht="19.5" customHeight="1">
      <x:c r="A46" s="18" t="n">
        <x:v>45200</x:v>
      </x:c>
      <x:c r="B46" s="35" t="str">
        <x:v>STMX</x:v>
      </x:c>
      <x:c r="C46" s="35" t="str">
        <x:v>新买入</x:v>
      </x:c>
      <x:c r="D46" s="49" t="n">
        <x:v>0.00661</x:v>
      </x:c>
      <x:c r="E46" s="49" t="n">
        <x:v>0.00775</x:v>
      </x:c>
      <x:c r="F46" s="19" t="n">
        <x:f>E46/D46-1</x:f>
        <x:v>0.172465960665658</x:v>
      </x:c>
      <x:c r="G46" s="50" t="n">
        <x:v>45231.010416666664</x:v>
      </x:c>
      <x:c r="H46" s="35" t="str">
        <x:v>下次换仓边界（非必然全卖）</x:v>
      </x:c>
      <x:c r="I46" s="53" t="n">
        <x:v>0.1</x:v>
      </x:c>
      <x:c r="J46" s="54" t="n">
        <x:v>10327693.253664402</x:v>
      </x:c>
      <x:c r="K46" s="55" t="n">
        <x:f>J46*(E46-D46)</x:f>
        <x:v>11773.570309177414</x:v>
      </x:c>
    </x:row>
    <x:row r="47" ht="19.5" customHeight="1">
      <x:c r="A47" s="23" t="n">
        <x:v>45200</x:v>
      </x:c>
      <x:c r="B47" s="42" t="str">
        <x:v>LINK</x:v>
      </x:c>
      <x:c r="C47" s="42" t="str">
        <x:v>新买入</x:v>
      </x:c>
      <x:c r="D47" s="51" t="n">
        <x:v>8.181</x:v>
      </x:c>
      <x:c r="E47" s="51" t="n">
        <x:v>11.315</x:v>
      </x:c>
      <x:c r="F47" s="24" t="n">
        <x:f>E47/D47-1</x:f>
        <x:v>0.3830827527197165</x:v>
      </x:c>
      <x:c r="G47" s="52" t="n">
        <x:v>45231.010416666664</x:v>
      </x:c>
      <x:c r="H47" s="42" t="str">
        <x:v>下次换仓边界（非必然全卖）</x:v>
      </x:c>
      <x:c r="I47" s="56" t="n">
        <x:v>0.1</x:v>
      </x:c>
      <x:c r="J47" s="57" t="n">
        <x:v>8344.463073795589</x:v>
      </x:c>
      <x:c r="K47" s="58" t="n">
        <x:f>J47*(E47-D47)</x:f>
        <x:v>26151.547273275377</x:v>
      </x:c>
    </x:row>
    <x:row r="48" ht="19.5" customHeight="1">
      <x:c r="A48" s="18" t="n">
        <x:v>45231</x:v>
      </x:c>
      <x:c r="B48" s="35" t="str">
        <x:v>TRB</x:v>
      </x:c>
      <x:c r="C48" s="35" t="str">
        <x:v>续持调仓</x:v>
      </x:c>
      <x:c r="D48" s="49" t="n">
        <x:v>112.154</x:v>
      </x:c>
      <x:c r="E48" s="49" t="n">
        <x:v>77.917</x:v>
      </x:c>
      <x:c r="F48" s="19" t="n">
        <x:f>E48/D48-1</x:f>
        <x:v>-0.3052677568343527</x:v>
      </x:c>
      <x:c r="G48" s="50" t="n">
        <x:v>45261.010416666664</x:v>
      </x:c>
      <x:c r="H48" s="35" t="str">
        <x:v>下次换仓边界（非必然全卖）</x:v>
      </x:c>
      <x:c r="I48" s="53" t="n">
        <x:v>0.1</x:v>
      </x:c>
      <x:c r="J48" s="54" t="n">
        <x:v>675.9590536809675</x:v>
      </x:c>
      <x:c r="K48" s="55" t="n">
        <x:f>J48*(E48-D48)</x:f>
        <x:v>-23142.81012087528</x:v>
      </x:c>
    </x:row>
    <x:row r="49" ht="19.5" customHeight="1">
      <x:c r="A49" s="23" t="n">
        <x:v>45231</x:v>
      </x:c>
      <x:c r="B49" s="42" t="str">
        <x:v>BLZ</x:v>
      </x:c>
      <x:c r="C49" s="42" t="str">
        <x:v>新买入</x:v>
      </x:c>
      <x:c r="D49" s="51" t="n">
        <x:v>0.29373</x:v>
      </x:c>
      <x:c r="E49" s="51" t="n">
        <x:v>0.24924</x:v>
      </x:c>
      <x:c r="F49" s="24" t="n">
        <x:f>E49/D49-1</x:f>
        <x:v>-0.15146563170258398</x:v>
      </x:c>
      <x:c r="G49" s="52" t="n">
        <x:v>45261.010416666664</x:v>
      </x:c>
      <x:c r="H49" s="42" t="str">
        <x:v>下次换仓边界（非必然全卖）</x:v>
      </x:c>
      <x:c r="I49" s="56" t="n">
        <x:v>0.1</x:v>
      </x:c>
      <x:c r="J49" s="57" t="n">
        <x:v>258099.31469899305</x:v>
      </x:c>
      <x:c r="K49" s="58" t="n">
        <x:f>J49*(E49-D49)</x:f>
        <x:v>-11482.838510958201</x:v>
      </x:c>
    </x:row>
    <x:row r="50" ht="19.5" customHeight="1">
      <x:c r="A50" s="18" t="n">
        <x:v>45231</x:v>
      </x:c>
      <x:c r="B50" s="35" t="str">
        <x:v>ARK</x:v>
      </x:c>
      <x:c r="C50" s="35" t="str">
        <x:v>新买入</x:v>
      </x:c>
      <x:c r="D50" s="49" t="n">
        <x:v>1.0492</x:v>
      </x:c>
      <x:c r="E50" s="49" t="n">
        <x:v>1.0574</x:v>
      </x:c>
      <x:c r="F50" s="19" t="n">
        <x:f>E50/D50-1</x:f>
        <x:v>0.007815478459778813</x:v>
      </x:c>
      <x:c r="G50" s="50" t="n">
        <x:v>45261.010416666664</x:v>
      </x:c>
      <x:c r="H50" s="35" t="str">
        <x:v>下次换仓边界（非必然全卖）</x:v>
      </x:c>
      <x:c r="I50" s="53" t="n">
        <x:v>0.1</x:v>
      </x:c>
      <x:c r="J50" s="54" t="n">
        <x:v>72256.49228606102</x:v>
      </x:c>
      <x:c r="K50" s="55" t="n">
        <x:f>J50*(E50-D50)</x:f>
        <x:v>592.5032367456993</x:v>
      </x:c>
    </x:row>
    <x:row r="51" ht="19.5" customHeight="1">
      <x:c r="A51" s="23" t="n">
        <x:v>45231</x:v>
      </x:c>
      <x:c r="B51" s="42" t="str">
        <x:v>INJ</x:v>
      </x:c>
      <x:c r="C51" s="42" t="str">
        <x:v>新买入</x:v>
      </x:c>
      <x:c r="D51" s="51" t="n">
        <x:v>14.198</x:v>
      </x:c>
      <x:c r="E51" s="51" t="n">
        <x:v>18.374</x:v>
      </x:c>
      <x:c r="F51" s="24" t="n">
        <x:f>E51/D51-1</x:f>
        <x:v>0.29412593323003233</x:v>
      </x:c>
      <x:c r="G51" s="52" t="n">
        <x:v>45261.010416666664</x:v>
      </x:c>
      <x:c r="H51" s="42" t="str">
        <x:v>下次换仓边界（非必然全卖）</x:v>
      </x:c>
      <x:c r="I51" s="56" t="n">
        <x:v>0.1</x:v>
      </x:c>
      <x:c r="J51" s="57" t="n">
        <x:v>5339.590907630316</x:v>
      </x:c>
      <x:c r="K51" s="58" t="n">
        <x:f>J51*(E51-D51)</x:f>
        <x:v>22298.13163026419</x:v>
      </x:c>
    </x:row>
    <x:row r="52" ht="19.5" customHeight="1">
      <x:c r="A52" s="18" t="n">
        <x:v>45231</x:v>
      </x:c>
      <x:c r="B52" s="35" t="str">
        <x:v>SOL</x:v>
      </x:c>
      <x:c r="C52" s="35" t="str">
        <x:v>新买入</x:v>
      </x:c>
      <x:c r="D52" s="49" t="n">
        <x:v>38.169</x:v>
      </x:c>
      <x:c r="E52" s="49" t="n">
        <x:v>59.057</x:v>
      </x:c>
      <x:c r="F52" s="19" t="n">
        <x:f>E52/D52-1</x:f>
        <x:v>0.5472503864392573</x:v>
      </x:c>
      <x:c r="G52" s="50" t="n">
        <x:v>45261.010416666664</x:v>
      </x:c>
      <x:c r="H52" s="35" t="str">
        <x:v>下次换仓边界（非必然全卖）</x:v>
      </x:c>
      <x:c r="I52" s="53" t="n">
        <x:v>0.1</x:v>
      </x:c>
      <x:c r="J52" s="54" t="n">
        <x:v>1986.2063901735762</x:v>
      </x:c>
      <x:c r="K52" s="55" t="n">
        <x:f>J52*(E52-D52)</x:f>
        <x:v>41487.87907794567</x:v>
      </x:c>
    </x:row>
    <x:row r="53" ht="19.5" customHeight="1">
      <x:c r="A53" s="23" t="n">
        <x:v>45231</x:v>
      </x:c>
      <x:c r="B53" s="42" t="str">
        <x:v>LQTY</x:v>
      </x:c>
      <x:c r="C53" s="42" t="str">
        <x:v>新买入</x:v>
      </x:c>
      <x:c r="D53" s="51" t="n">
        <x:v>1.6451</x:v>
      </x:c>
      <x:c r="E53" s="51" t="n">
        <x:v>1.4288</x:v>
      </x:c>
      <x:c r="F53" s="24" t="n">
        <x:f>E53/D53-1</x:f>
        <x:v>-0.13148136891374385</x:v>
      </x:c>
      <x:c r="G53" s="52" t="n">
        <x:v>45261.010416666664</x:v>
      </x:c>
      <x:c r="H53" s="42" t="str">
        <x:v>下次换仓边界（非必然全卖）</x:v>
      </x:c>
      <x:c r="I53" s="56" t="n">
        <x:v>0.1</x:v>
      </x:c>
      <x:c r="J53" s="57" t="n">
        <x:v>46083.22394172708</x:v>
      </x:c>
      <x:c r="K53" s="58" t="n">
        <x:f>J53*(E53-D53)</x:f>
        <x:v>-9967.801338595566</x:v>
      </x:c>
    </x:row>
    <x:row r="54" ht="19.5" customHeight="1">
      <x:c r="A54" s="18" t="n">
        <x:v>45231</x:v>
      </x:c>
      <x:c r="B54" s="35" t="str">
        <x:v>1000FLOKI</x:v>
      </x:c>
      <x:c r="C54" s="35" t="str">
        <x:v>新买入</x:v>
      </x:c>
      <x:c r="D54" s="49" t="n">
        <x:v>0.03237</x:v>
      </x:c>
      <x:c r="E54" s="49" t="n">
        <x:v>0.0322</x:v>
      </x:c>
      <x:c r="F54" s="19" t="n">
        <x:f>E54/D54-1</x:f>
        <x:v>-0.005251776336113845</x:v>
      </x:c>
      <x:c r="G54" s="50" t="n">
        <x:v>45261.010416666664</x:v>
      </x:c>
      <x:c r="H54" s="35" t="str">
        <x:v>下次换仓边界（非必然全卖）</x:v>
      </x:c>
      <x:c r="I54" s="53" t="n">
        <x:v>0.1</x:v>
      </x:c>
      <x:c r="J54" s="54" t="n">
        <x:v>2342030.0187375722</x:v>
      </x:c>
      <x:c r="K54" s="55" t="n">
        <x:f>J54*(E54-D54)</x:f>
        <x:v>-398.14510318539544</x:v>
      </x:c>
    </x:row>
    <x:row r="55" ht="19.5" customHeight="1">
      <x:c r="A55" s="23" t="n">
        <x:v>45231</x:v>
      </x:c>
      <x:c r="B55" s="42" t="str">
        <x:v>FET</x:v>
      </x:c>
      <x:c r="C55" s="42" t="str">
        <x:v>新买入</x:v>
      </x:c>
      <x:c r="D55" s="51" t="n">
        <x:v>0.3626</x:v>
      </x:c>
      <x:c r="E55" s="51" t="n">
        <x:v>0.525</x:v>
      </x:c>
      <x:c r="F55" s="24" t="n">
        <x:f>E55/D55-1</x:f>
        <x:v>0.4478764478764481</x:v>
      </x:c>
      <x:c r="G55" s="52" t="n">
        <x:v>45261.010416666664</x:v>
      </x:c>
      <x:c r="H55" s="42" t="str">
        <x:v>下次换仓边界（非必然全卖）</x:v>
      </x:c>
      <x:c r="I55" s="56" t="n">
        <x:v>0.1</x:v>
      </x:c>
      <x:c r="J55" s="57" t="n">
        <x:v>209077.52814819422</x:v>
      </x:c>
      <x:c r="K55" s="58" t="n">
        <x:f>J55*(E55-D55)</x:f>
        <x:v>33954.19057126675</x:v>
      </x:c>
    </x:row>
    <x:row r="56" ht="19.5" customHeight="1">
      <x:c r="A56" s="18" t="n">
        <x:v>45231</x:v>
      </x:c>
      <x:c r="B56" s="35" t="str">
        <x:v>RNDR</x:v>
      </x:c>
      <x:c r="C56" s="35" t="str">
        <x:v>新买入</x:v>
      </x:c>
      <x:c r="D56" s="49" t="n">
        <x:v>2.3857</x:v>
      </x:c>
      <x:c r="E56" s="49" t="n">
        <x:v>3.4335</x:v>
      </x:c>
      <x:c r="F56" s="19" t="n">
        <x:f>E56/D56-1</x:f>
        <x:v>0.4392002347319446</x:v>
      </x:c>
      <x:c r="G56" s="50" t="n">
        <x:v>45261.010416666664</x:v>
      </x:c>
      <x:c r="H56" s="35" t="str">
        <x:v>下次换仓边界（非必然全卖）</x:v>
      </x:c>
      <x:c r="I56" s="53" t="n">
        <x:v>0.1</x:v>
      </x:c>
      <x:c r="J56" s="54" t="n">
        <x:v>31777.470640288062</x:v>
      </x:c>
      <x:c r="K56" s="55" t="n">
        <x:f>J56*(E56-D56)</x:f>
        <x:v>33296.433736893836</x:v>
      </x:c>
    </x:row>
    <x:row r="57" ht="19.5" customHeight="1">
      <x:c r="A57" s="23" t="n">
        <x:v>45231</x:v>
      </x:c>
      <x:c r="B57" s="42" t="str">
        <x:v>MINA</x:v>
      </x:c>
      <x:c r="C57" s="42" t="str">
        <x:v>新买入</x:v>
      </x:c>
      <x:c r="D57" s="51" t="n">
        <x:v>0.5866</x:v>
      </x:c>
      <x:c r="E57" s="51" t="n">
        <x:v>0.7186</x:v>
      </x:c>
      <x:c r="F57" s="24" t="n">
        <x:f>E57/D57-1</x:f>
        <x:v>0.22502557108762367</x:v>
      </x:c>
      <x:c r="G57" s="52" t="n">
        <x:v>45261.010416666664</x:v>
      </x:c>
      <x:c r="H57" s="42" t="str">
        <x:v>下次换仓边界（非必然全卖）</x:v>
      </x:c>
      <x:c r="I57" s="56" t="n">
        <x:v>0.1</x:v>
      </x:c>
      <x:c r="J57" s="57" t="n">
        <x:v>129238.85391499357</x:v>
      </x:c>
      <x:c r="K57" s="58" t="n">
        <x:f>J57*(E57-D57)</x:f>
        <x:v>17059.52871677915</x:v>
      </x:c>
    </x:row>
    <x:row r="58" ht="19.5" customHeight="1">
      <x:c r="A58" s="18" t="n">
        <x:v>45261</x:v>
      </x:c>
      <x:c r="B58" s="35" t="str">
        <x:v>RUNE</x:v>
      </x:c>
      <x:c r="C58" s="35" t="str">
        <x:v>新买入</x:v>
      </x:c>
      <x:c r="D58" s="49" t="n">
        <x:v>6.415</x:v>
      </x:c>
      <x:c r="E58" s="49" t="n">
        <x:v>5.21</x:v>
      </x:c>
      <x:c r="F58" s="19" t="n">
        <x:f>E58/D58-1</x:f>
        <x:v>-0.18784099766173035</x:v>
      </x:c>
      <x:c r="G58" s="50" t="n">
        <x:v>45292.010416666664</x:v>
      </x:c>
      <x:c r="H58" s="35" t="str">
        <x:v>下次换仓边界（非必然全卖）</x:v>
      </x:c>
      <x:c r="I58" s="53" t="n">
        <x:v>0.1</x:v>
      </x:c>
      <x:c r="J58" s="54" t="n">
        <x:v>13396.765212989994</x:v>
      </x:c>
      <x:c r="K58" s="55" t="n">
        <x:f>J58*(E58-D58)</x:f>
        <x:v>-16143.102081652944</x:v>
      </x:c>
    </x:row>
    <x:row r="59" ht="19.5" customHeight="1">
      <x:c r="A59" s="23" t="n">
        <x:v>45261</x:v>
      </x:c>
      <x:c r="B59" s="42" t="str">
        <x:v>SEI</x:v>
      </x:c>
      <x:c r="C59" s="42" t="str">
        <x:v>新买入</x:v>
      </x:c>
      <x:c r="D59" s="51" t="n">
        <x:v>0.2364</x:v>
      </x:c>
      <x:c r="E59" s="51" t="n">
        <x:v>0.5712</x:v>
      </x:c>
      <x:c r="F59" s="24" t="n">
        <x:f>E59/D59-1</x:f>
        <x:v>1.4162436548223352</x:v>
      </x:c>
      <x:c r="G59" s="52" t="n">
        <x:v>45292.010416666664</x:v>
      </x:c>
      <x:c r="H59" s="42" t="str">
        <x:v>下次换仓边界（非必然全卖）</x:v>
      </x:c>
      <x:c r="I59" s="56" t="n">
        <x:v>0.1</x:v>
      </x:c>
      <x:c r="J59" s="57" t="n">
        <x:v>363537.43164691544</x:v>
      </x:c>
      <x:c r="K59" s="58" t="n">
        <x:f>J59*(E59-D59)</x:f>
        <x:v>121712.33211538731</x:v>
      </x:c>
    </x:row>
    <x:row r="60" ht="19.5" customHeight="1">
      <x:c r="A60" s="18" t="n">
        <x:v>45261</x:v>
      </x:c>
      <x:c r="B60" s="35" t="str">
        <x:v>BLUR</x:v>
      </x:c>
      <x:c r="C60" s="35" t="str">
        <x:v>新买入</x:v>
      </x:c>
      <x:c r="D60" s="49" t="n">
        <x:v>0.4893</x:v>
      </x:c>
      <x:c r="E60" s="49" t="n">
        <x:v>0.4657</x:v>
      </x:c>
      <x:c r="F60" s="19" t="n">
        <x:f>E60/D60-1</x:f>
        <x:v>-0.04823216840384226</x:v>
      </x:c>
      <x:c r="G60" s="50" t="n">
        <x:v>45292.010416666664</x:v>
      </x:c>
      <x:c r="H60" s="35" t="str">
        <x:v>下次换仓边界（非必然全卖）</x:v>
      </x:c>
      <x:c r="I60" s="53" t="n">
        <x:v>0.1</x:v>
      </x:c>
      <x:c r="J60" s="54" t="n">
        <x:v>175639.1760501345</x:v>
      </x:c>
      <x:c r="K60" s="55" t="n">
        <x:f>J60*(E60-D60)</x:f>
        <x:v>-4145.084554783176</x:v>
      </x:c>
    </x:row>
    <x:row r="61" ht="19.5" customHeight="1">
      <x:c r="A61" s="23" t="n">
        <x:v>45261</x:v>
      </x:c>
      <x:c r="B61" s="42" t="str">
        <x:v>IMX</x:v>
      </x:c>
      <x:c r="C61" s="42" t="str">
        <x:v>新买入</x:v>
      </x:c>
      <x:c r="D61" s="51" t="n">
        <x:v>1.2717</x:v>
      </x:c>
      <x:c r="E61" s="51" t="n">
        <x:v>2.1624</x:v>
      </x:c>
      <x:c r="F61" s="24" t="n">
        <x:f>E61/D61-1</x:f>
        <x:v>0.7004010379806556</x:v>
      </x:c>
      <x:c r="G61" s="52" t="n">
        <x:v>45292.010416666664</x:v>
      </x:c>
      <x:c r="H61" s="42" t="str">
        <x:v>下次换仓边界（非必然全卖）</x:v>
      </x:c>
      <x:c r="I61" s="56" t="n">
        <x:v>0.1</x:v>
      </x:c>
      <x:c r="J61" s="57" t="n">
        <x:v>67579.0271615403</x:v>
      </x:c>
      <x:c r="K61" s="58" t="n">
        <x:f>J61*(E61-D61)</x:f>
        <x:v>60192.639492783936</x:v>
      </x:c>
    </x:row>
    <x:row r="62" ht="19.5" customHeight="1">
      <x:c r="A62" s="18" t="n">
        <x:v>45261</x:v>
      </x:c>
      <x:c r="B62" s="35" t="str">
        <x:v>AVAX</x:v>
      </x:c>
      <x:c r="C62" s="35" t="str">
        <x:v>新买入</x:v>
      </x:c>
      <x:c r="D62" s="49" t="n">
        <x:v>21.267</x:v>
      </x:c>
      <x:c r="E62" s="49" t="n">
        <x:v>38.933</x:v>
      </x:c>
      <x:c r="F62" s="19" t="n">
        <x:f>E62/D62-1</x:f>
        <x:v>0.8306766351624584</x:v>
      </x:c>
      <x:c r="G62" s="50" t="n">
        <x:v>45292.010416666664</x:v>
      </x:c>
      <x:c r="H62" s="35" t="str">
        <x:v>下次换仓边界（非必然全卖）</x:v>
      </x:c>
      <x:c r="I62" s="53" t="n">
        <x:v>0.1</x:v>
      </x:c>
      <x:c r="J62" s="54" t="n">
        <x:v>4041.014192943566</x:v>
      </x:c>
      <x:c r="K62" s="55" t="n">
        <x:f>J62*(E62-D62)</x:f>
        <x:v>71388.55673254104</x:v>
      </x:c>
    </x:row>
    <x:row r="63" ht="19.5" customHeight="1">
      <x:c r="A63" s="23" t="n">
        <x:v>45261</x:v>
      </x:c>
      <x:c r="B63" s="42" t="str">
        <x:v>1000LUNC</x:v>
      </x:c>
      <x:c r="C63" s="42" t="str">
        <x:v>新买入</x:v>
      </x:c>
      <x:c r="D63" s="51" t="n">
        <x:v>0.11727</x:v>
      </x:c>
      <x:c r="E63" s="51" t="n">
        <x:v>0.13952</x:v>
      </x:c>
      <x:c r="F63" s="24" t="n">
        <x:f>E63/D63-1</x:f>
        <x:v>0.18973309456809084</x:v>
      </x:c>
      <x:c r="G63" s="52" t="n">
        <x:v>45292.010416666664</x:v>
      </x:c>
      <x:c r="H63" s="42" t="str">
        <x:v>下次换仓边界（非必然全卖）</x:v>
      </x:c>
      <x:c r="I63" s="56" t="n">
        <x:v>0.1</x:v>
      </x:c>
      <x:c r="J63" s="57" t="n">
        <x:v>732840.870140111</x:v>
      </x:c>
      <x:c r="K63" s="58" t="n">
        <x:f>J63*(E63-D63)</x:f>
        <x:v>16305.709360617473</x:v>
      </x:c>
    </x:row>
    <x:row r="64" ht="19.5" customHeight="1">
      <x:c r="A64" s="18" t="n">
        <x:v>45261</x:v>
      </x:c>
      <x:c r="B64" s="35" t="str">
        <x:v>ROSE</x:v>
      </x:c>
      <x:c r="C64" s="35" t="str">
        <x:v>新买入</x:v>
      </x:c>
      <x:c r="D64" s="49" t="n">
        <x:v>0.08692</x:v>
      </x:c>
      <x:c r="E64" s="49" t="n">
        <x:v>0.13641</x:v>
      </x:c>
      <x:c r="F64" s="19" t="n">
        <x:f>E64/D64-1</x:f>
        <x:v>0.569374137137598</x:v>
      </x:c>
      <x:c r="G64" s="50" t="n">
        <x:v>45292.010416666664</x:v>
      </x:c>
      <x:c r="H64" s="35" t="str">
        <x:v>下次换仓边界（非必然全卖）</x:v>
      </x:c>
      <x:c r="I64" s="53" t="n">
        <x:v>0.1</x:v>
      </x:c>
      <x:c r="J64" s="54" t="n">
        <x:v>988728.1274888497</x:v>
      </x:c>
      <x:c r="K64" s="55" t="n">
        <x:f>J64*(E64-D64)</x:f>
        <x:v>48932.15502942318</x:v>
      </x:c>
    </x:row>
    <x:row r="65" ht="19.5" customHeight="1">
      <x:c r="A65" s="23" t="n">
        <x:v>45261</x:v>
      </x:c>
      <x:c r="B65" s="42" t="str">
        <x:v>STORJ</x:v>
      </x:c>
      <x:c r="C65" s="42" t="str">
        <x:v>新买入</x:v>
      </x:c>
      <x:c r="D65" s="51" t="n">
        <x:v>0.7337</x:v>
      </x:c>
      <x:c r="E65" s="51" t="n">
        <x:v>0.7019</x:v>
      </x:c>
      <x:c r="F65" s="24" t="n">
        <x:f>E65/D65-1</x:f>
        <x:v>-0.043341965380945924</x:v>
      </x:c>
      <x:c r="G65" s="52" t="n">
        <x:v>45292.010416666664</x:v>
      </x:c>
      <x:c r="H65" s="42" t="str">
        <x:v>下次换仓边界（非必然全卖）</x:v>
      </x:c>
      <x:c r="I65" s="56" t="n">
        <x:v>0.1</x:v>
      </x:c>
      <x:c r="J65" s="57" t="n">
        <x:v>117132.68207895709</x:v>
      </x:c>
      <x:c r="K65" s="58" t="n">
        <x:f>J65*(E65-D65)</x:f>
        <x:v>-3724.8192901108414</x:v>
      </x:c>
    </x:row>
    <x:row r="66" ht="19.5" customHeight="1">
      <x:c r="A66" s="18" t="n">
        <x:v>45261</x:v>
      </x:c>
      <x:c r="B66" s="35" t="str">
        <x:v>SKL</x:v>
      </x:c>
      <x:c r="C66" s="35" t="str">
        <x:v>新买入</x:v>
      </x:c>
      <x:c r="D66" s="49" t="n">
        <x:v>0.04222</x:v>
      </x:c>
      <x:c r="E66" s="49" t="n">
        <x:v>0.06859</x:v>
      </x:c>
      <x:c r="F66" s="19" t="n">
        <x:f>E66/D66-1</x:f>
        <x:v>0.6245855045002369</x:v>
      </x:c>
      <x:c r="G66" s="50" t="n">
        <x:v>45292.010416666664</x:v>
      </x:c>
      <x:c r="H66" s="35" t="str">
        <x:v>下次换仓边界（非必然全卖）</x:v>
      </x:c>
      <x:c r="I66" s="53" t="n">
        <x:v>0.1</x:v>
      </x:c>
      <x:c r="J66" s="54" t="n">
        <x:v>2035534.079614657</x:v>
      </x:c>
      <x:c r="K66" s="55" t="n">
        <x:f>J66*(E66-D66)</x:f>
        <x:v>53677.0336794385</x:v>
      </x:c>
    </x:row>
    <x:row r="67" ht="19.5" customHeight="1">
      <x:c r="A67" s="23" t="n">
        <x:v>45261</x:v>
      </x:c>
      <x:c r="B67" s="42" t="str">
        <x:v>SUSHI</x:v>
      </x:c>
      <x:c r="C67" s="42" t="str">
        <x:v>新买入</x:v>
      </x:c>
      <x:c r="D67" s="51" t="n">
        <x:v>1.2715</x:v>
      </x:c>
      <x:c r="E67" s="51" t="n">
        <x:v>1.2586</x:v>
      </x:c>
      <x:c r="F67" s="24" t="n">
        <x:f>E67/D67-1</x:f>
        <x:v>-0.01014549744396398</x:v>
      </x:c>
      <x:c r="G67" s="52" t="n">
        <x:v>45292.010416666664</x:v>
      </x:c>
      <x:c r="H67" s="42" t="str">
        <x:v>下次换仓边界（非必然全卖）</x:v>
      </x:c>
      <x:c r="I67" s="56" t="n">
        <x:v>0.1</x:v>
      </x:c>
      <x:c r="J67" s="57" t="n">
        <x:v>67589.65697312687</x:v>
      </x:c>
      <x:c r="K67" s="58" t="n">
        <x:f>J67*(E67-D67)</x:f>
        <x:v>-871.9065749533456</x:v>
      </x:c>
    </x:row>
    <x:row r="68" ht="19.5" customHeight="1">
      <x:c r="A68" s="18" t="n">
        <x:v>45292</x:v>
      </x:c>
      <x:c r="B68" s="35" t="str">
        <x:v>ORDI</x:v>
      </x:c>
      <x:c r="C68" s="35" t="str">
        <x:v>新买入</x:v>
      </x:c>
      <x:c r="D68" s="49" t="n">
        <x:v>79.787</x:v>
      </x:c>
      <x:c r="E68" s="49" t="n">
        <x:v>59.986</x:v>
      </x:c>
      <x:c r="F68" s="19" t="n">
        <x:f>E68/D68-1</x:f>
        <x:v>-0.24817326130823325</x:v>
      </x:c>
      <x:c r="G68" s="50" t="n">
        <x:v>45323.010416666664</x:v>
      </x:c>
      <x:c r="H68" s="35" t="str">
        <x:v>下次换仓边界（非必然全卖）</x:v>
      </x:c>
      <x:c r="I68" s="53" t="n">
        <x:v>0.1</x:v>
      </x:c>
      <x:c r="J68" s="54" t="n">
        <x:v>1508.6272887178577</x:v>
      </x:c>
      <x:c r="K68" s="55" t="n">
        <x:f>J68*(E68-D68)</x:f>
        <x:v>-29872.328943902314</x:v>
      </x:c>
    </x:row>
    <x:row r="69" ht="19.5" customHeight="1">
      <x:c r="A69" s="23" t="n">
        <x:v>45292</x:v>
      </x:c>
      <x:c r="B69" s="42" t="str">
        <x:v>1000BONK</x:v>
      </x:c>
      <x:c r="C69" s="42" t="str">
        <x:v>新买入</x:v>
      </x:c>
      <x:c r="D69" s="51" t="n">
        <x:v>0.013502</x:v>
      </x:c>
      <x:c r="E69" s="51" t="n">
        <x:v>0.010706</x:v>
      </x:c>
      <x:c r="F69" s="24" t="n">
        <x:f>E69/D69-1</x:f>
        <x:v>-0.20708043252851427</x:v>
      </x:c>
      <x:c r="G69" s="52" t="n">
        <x:v>45323.010416666664</x:v>
      </x:c>
      <x:c r="H69" s="42" t="str">
        <x:v>下次换仓边界（非必然全卖）</x:v>
      </x:c>
      <x:c r="I69" s="56" t="n">
        <x:v>0.1</x:v>
      </x:c>
      <x:c r="J69" s="57" t="n">
        <x:v>8914890.05220943</x:v>
      </x:c>
      <x:c r="K69" s="58" t="n">
        <x:f>J69*(E69-D69)</x:f>
        <x:v>-24926.032585977562</x:v>
      </x:c>
    </x:row>
    <x:row r="70" ht="19.5" customHeight="1">
      <x:c r="A70" s="18" t="n">
        <x:v>45292</x:v>
      </x:c>
      <x:c r="B70" s="35" t="str">
        <x:v>ICP</x:v>
      </x:c>
      <x:c r="C70" s="35" t="str">
        <x:v>新买入</x:v>
      </x:c>
      <x:c r="D70" s="49" t="n">
        <x:v>13.325</x:v>
      </x:c>
      <x:c r="E70" s="49" t="n">
        <x:v>11.583</x:v>
      </x:c>
      <x:c r="F70" s="19" t="n">
        <x:f>E70/D70-1</x:f>
        <x:v>-0.13073170731707306</x:v>
      </x:c>
      <x:c r="G70" s="50" t="n">
        <x:v>45323.010416666664</x:v>
      </x:c>
      <x:c r="H70" s="35" t="str">
        <x:v>下次换仓边界（非必然全卖）</x:v>
      </x:c>
      <x:c r="I70" s="53" t="n">
        <x:v>0.1</x:v>
      </x:c>
      <x:c r="J70" s="54" t="n">
        <x:v>9033.309229638404</x:v>
      </x:c>
      <x:c r="K70" s="55" t="n">
        <x:f>J70*(E70-D70)</x:f>
        <x:v>-15736.024678030091</x:v>
      </x:c>
    </x:row>
    <x:row r="71" ht="19.5" customHeight="1">
      <x:c r="A71" s="23" t="n">
        <x:v>45292</x:v>
      </x:c>
      <x:c r="B71" s="42" t="str">
        <x:v>BAKE</x:v>
      </x:c>
      <x:c r="C71" s="42" t="str">
        <x:v>新买入</x:v>
      </x:c>
      <x:c r="D71" s="51" t="n">
        <x:v>0.476</x:v>
      </x:c>
      <x:c r="E71" s="51" t="n">
        <x:v>0.326</x:v>
      </x:c>
      <x:c r="F71" s="24" t="n">
        <x:f>E71/D71-1</x:f>
        <x:v>-0.31512605042016806</x:v>
      </x:c>
      <x:c r="G71" s="52" t="n">
        <x:v>45323.010416666664</x:v>
      </x:c>
      <x:c r="H71" s="42" t="str">
        <x:v>下次换仓边界（非必然全卖）</x:v>
      </x:c>
      <x:c r="I71" s="56" t="n">
        <x:v>0.1</x:v>
      </x:c>
      <x:c r="J71" s="57" t="n">
        <x:v>252875.7258086801</x:v>
      </x:c>
      <x:c r="K71" s="58" t="n">
        <x:f>J71*(E71-D71)</x:f>
        <x:v>-37931.35887130201</x:v>
      </x:c>
    </x:row>
    <x:row r="72" ht="19.5" customHeight="1">
      <x:c r="A72" s="18" t="n">
        <x:v>45292</x:v>
      </x:c>
      <x:c r="B72" s="35" t="str">
        <x:v>TRB</x:v>
      </x:c>
      <x:c r="C72" s="35" t="str">
        <x:v>新买入</x:v>
      </x:c>
      <x:c r="D72" s="49" t="n">
        <x:v>199.282</x:v>
      </x:c>
      <x:c r="E72" s="49" t="n">
        <x:v>115.245</x:v>
      </x:c>
      <x:c r="F72" s="19" t="n">
        <x:f>E72/D72-1</x:f>
        <x:v>-0.42169889904758084</x:v>
      </x:c>
      <x:c r="G72" s="50" t="n">
        <x:v>45323.010416666664</x:v>
      </x:c>
      <x:c r="H72" s="35" t="str">
        <x:v>下次换仓边界（非必然全卖）</x:v>
      </x:c>
      <x:c r="I72" s="53" t="n">
        <x:v>0.1</x:v>
      </x:c>
      <x:c r="J72" s="54" t="n">
        <x:v>604.0126327763256</x:v>
      </x:c>
      <x:c r="K72" s="55" t="n">
        <x:f>J72*(E72-D72)</x:f>
        <x:v>-50759.40962062408</x:v>
      </x:c>
    </x:row>
    <x:row r="73" ht="19.5" customHeight="1">
      <x:c r="A73" s="23" t="n">
        <x:v>45292</x:v>
      </x:c>
      <x:c r="B73" s="42" t="str">
        <x:v>NTRN</x:v>
      </x:c>
      <x:c r="C73" s="42" t="str">
        <x:v>新买入</x:v>
      </x:c>
      <x:c r="D73" s="51" t="n">
        <x:v>1.1199</x:v>
      </x:c>
      <x:c r="E73" s="51" t="n">
        <x:v>1.085</x:v>
      </x:c>
      <x:c r="F73" s="24" t="n">
        <x:f>E73/D73-1</x:f>
        <x:v>-0.03116349674078034</x:v>
      </x:c>
      <x:c r="G73" s="52" t="n">
        <x:v>45323.010416666664</x:v>
      </x:c>
      <x:c r="H73" s="42" t="str">
        <x:v>下次换仓边界（非必然全卖）</x:v>
      </x:c>
      <x:c r="I73" s="56" t="n">
        <x:v>0.1</x:v>
      </x:c>
      <x:c r="J73" s="57" t="n">
        <x:v>107481.78005619407</x:v>
      </x:c>
      <x:c r="K73" s="58" t="n">
        <x:f>J73*(E73-D73)</x:f>
        <x:v>-3751.1141239611657</x:v>
      </x:c>
    </x:row>
    <x:row r="74" ht="19.5" customHeight="1">
      <x:c r="A74" s="18" t="n">
        <x:v>45292</x:v>
      </x:c>
      <x:c r="B74" s="35" t="str">
        <x:v>SEI</x:v>
      </x:c>
      <x:c r="C74" s="35" t="str">
        <x:v>续持调仓</x:v>
      </x:c>
      <x:c r="D74" s="49" t="n">
        <x:v>0.5712</x:v>
      </x:c>
      <x:c r="E74" s="49" t="n">
        <x:v>0.6587</x:v>
      </x:c>
      <x:c r="F74" s="19" t="n">
        <x:f>E74/D74-1</x:f>
        <x:v>0.15318627450980382</x:v>
      </x:c>
      <x:c r="G74" s="50" t="n">
        <x:v>45323.010416666664</x:v>
      </x:c>
      <x:c r="H74" s="35" t="str">
        <x:v>下次换仓边界（非必然全卖）</x:v>
      </x:c>
      <x:c r="I74" s="53" t="n">
        <x:v>0.1</x:v>
      </x:c>
      <x:c r="J74" s="54" t="n">
        <x:v>210729.77150723338</x:v>
      </x:c>
      <x:c r="K74" s="55" t="n">
        <x:f>J74*(E74-D74)</x:f>
        <x:v>18438.855006882903</x:v>
      </x:c>
    </x:row>
    <x:row r="75" ht="19.5" customHeight="1">
      <x:c r="A75" s="23" t="n">
        <x:v>45292</x:v>
      </x:c>
      <x:c r="B75" s="42" t="str">
        <x:v>BIGTIME</x:v>
      </x:c>
      <x:c r="C75" s="42" t="str">
        <x:v>新买入</x:v>
      </x:c>
      <x:c r="D75" s="51" t="n">
        <x:v>0.4873</x:v>
      </x:c>
      <x:c r="E75" s="51" t="n">
        <x:v>0.3348</x:v>
      </x:c>
      <x:c r="F75" s="24" t="n">
        <x:f>E75/D75-1</x:f>
        <x:v>-0.31294890211368775</x:v>
      </x:c>
      <x:c r="G75" s="52" t="n">
        <x:v>45323.010416666664</x:v>
      </x:c>
      <x:c r="H75" s="42" t="str">
        <x:v>下次换仓边界（非必然全卖）</x:v>
      </x:c>
      <x:c r="I75" s="56" t="n">
        <x:v>0.1</x:v>
      </x:c>
      <x:c r="J75" s="57" t="n">
        <x:v>247011.79044722288</x:v>
      </x:c>
      <x:c r="K75" s="58" t="n">
        <x:f>J75*(E75-D75)</x:f>
        <x:v>-37669.298043201496</x:v>
      </x:c>
    </x:row>
    <x:row r="76" ht="19.5" customHeight="1">
      <x:c r="A76" s="18" t="n">
        <x:v>45292</x:v>
      </x:c>
      <x:c r="B76" s="35" t="str">
        <x:v>OP</x:v>
      </x:c>
      <x:c r="C76" s="35" t="str">
        <x:v>新买入</x:v>
      </x:c>
      <x:c r="D76" s="49" t="n">
        <x:v>3.7855</x:v>
      </x:c>
      <x:c r="E76" s="49" t="n">
        <x:v>2.9121</x:v>
      </x:c>
      <x:c r="F76" s="19" t="n">
        <x:f>E76/D76-1</x:f>
        <x:v>-0.2307224937260599</x:v>
      </x:c>
      <x:c r="G76" s="50" t="n">
        <x:v>45323.010416666664</x:v>
      </x:c>
      <x:c r="H76" s="35" t="str">
        <x:v>下次换仓边界（非必然全卖）</x:v>
      </x:c>
      <x:c r="I76" s="53" t="n">
        <x:v>0.1</x:v>
      </x:c>
      <x:c r="J76" s="54" t="n">
        <x:v>31797.343940016304</x:v>
      </x:c>
      <x:c r="K76" s="55" t="n">
        <x:f>J76*(E76-D76)</x:f>
        <x:v>-27771.800197210232</x:v>
      </x:c>
    </x:row>
    <x:row r="77" ht="19.5" customHeight="1">
      <x:c r="A77" s="23" t="n">
        <x:v>45292</x:v>
      </x:c>
      <x:c r="B77" s="42" t="str">
        <x:v>STX</x:v>
      </x:c>
      <x:c r="C77" s="42" t="str">
        <x:v>新买入</x:v>
      </x:c>
      <x:c r="D77" s="51" t="n">
        <x:v>1.4995</x:v>
      </x:c>
      <x:c r="E77" s="51" t="n">
        <x:v>1.4986</x:v>
      </x:c>
      <x:c r="F77" s="24" t="n">
        <x:f>E77/D77-1</x:f>
        <x:v>-0.0006002000666889273</x:v>
      </x:c>
      <x:c r="G77" s="52" t="n">
        <x:v>45323.010416666664</x:v>
      </x:c>
      <x:c r="H77" s="42" t="str">
        <x:v>下次换仓边界（非必然全卖）</x:v>
      </x:c>
      <x:c r="I77" s="56" t="n">
        <x:v>0.1</x:v>
      </x:c>
      <x:c r="J77" s="57" t="n">
        <x:v>80272.6545414683</x:v>
      </x:c>
      <x:c r="K77" s="58" t="n">
        <x:f>J77*(E77-D77)</x:f>
        <x:v>-72.24538908733135</x:v>
      </x:c>
    </x:row>
    <x:row r="78" ht="19.5" customHeight="1">
      <x:c r="A78" s="18" t="n">
        <x:v>45323</x:v>
      </x:c>
      <x:c r="B78" s="35" t="str">
        <x:v>PENDLE</x:v>
      </x:c>
      <x:c r="C78" s="35" t="str">
        <x:v>新买入</x:v>
      </x:c>
      <x:c r="D78" s="49" t="n">
        <x:v>2.565</x:v>
      </x:c>
      <x:c r="E78" s="49" t="n">
        <x:v>3.155</x:v>
      </x:c>
      <x:c r="F78" s="19" t="n">
        <x:f>E78/D78-1</x:f>
        <x:v>0.2300194931773878</x:v>
      </x:c>
      <x:c r="G78" s="50" t="n">
        <x:v>45352.010416666664</x:v>
      </x:c>
      <x:c r="H78" s="35" t="str">
        <x:v>下次换仓边界（非必然全卖）</x:v>
      </x:c>
      <x:c r="I78" s="53" t="n">
        <x:v>0.1</x:v>
      </x:c>
      <x:c r="J78" s="54" t="n">
        <x:v>38629.99615845964</x:v>
      </x:c>
      <x:c r="K78" s="55" t="n">
        <x:f>J78*(E78-D78)</x:f>
        <x:v>22791.697733491183</x:v>
      </x:c>
    </x:row>
    <x:row r="79" ht="19.5" customHeight="1">
      <x:c r="A79" s="23" t="n">
        <x:v>45323</x:v>
      </x:c>
      <x:c r="B79" s="42" t="str">
        <x:v>UMA</x:v>
      </x:c>
      <x:c r="C79" s="42" t="str">
        <x:v>新买入</x:v>
      </x:c>
      <x:c r="D79" s="51" t="n">
        <x:v>4.505</x:v>
      </x:c>
      <x:c r="E79" s="51" t="n">
        <x:v>4.137</x:v>
      </x:c>
      <x:c r="F79" s="24" t="n">
        <x:f>E79/D79-1</x:f>
        <x:v>-0.08168701442841297</x:v>
      </x:c>
      <x:c r="G79" s="52" t="n">
        <x:v>45352.010416666664</x:v>
      </x:c>
      <x:c r="H79" s="42" t="str">
        <x:v>下次换仓边界（非必然全卖）</x:v>
      </x:c>
      <x:c r="I79" s="56" t="n">
        <x:v>0.1</x:v>
      </x:c>
      <x:c r="J79" s="57" t="n">
        <x:v>21994.65929998867</x:v>
      </x:c>
      <x:c r="K79" s="58" t="n">
        <x:f>J79*(E79-D79)</x:f>
        <x:v>-8094.034622395838</x:v>
      </x:c>
    </x:row>
    <x:row r="80" ht="19.5" customHeight="1">
      <x:c r="A80" s="18" t="n">
        <x:v>45323</x:v>
      </x:c>
      <x:c r="B80" s="35" t="str">
        <x:v>PEOPLE</x:v>
      </x:c>
      <x:c r="C80" s="35" t="str">
        <x:v>新买入</x:v>
      </x:c>
      <x:c r="D80" s="49" t="n">
        <x:v>0.02569</x:v>
      </x:c>
      <x:c r="E80" s="49" t="n">
        <x:v>0.04626</x:v>
      </x:c>
      <x:c r="F80" s="19" t="n">
        <x:f>E80/D80-1</x:f>
        <x:v>0.8007006617360841</x:v>
      </x:c>
      <x:c r="G80" s="50" t="n">
        <x:v>45352.010416666664</x:v>
      </x:c>
      <x:c r="H80" s="35" t="str">
        <x:v>下次换仓边界（非必然全卖）</x:v>
      </x:c>
      <x:c r="I80" s="53" t="n">
        <x:v>0.1</x:v>
      </x:c>
      <x:c r="J80" s="54" t="n">
        <x:v>3856984.824696339</x:v>
      </x:c>
      <x:c r="K80" s="55" t="n">
        <x:f>J80*(E80-D80)</x:f>
        <x:v>79338.1778440037</x:v>
      </x:c>
    </x:row>
    <x:row r="81" ht="19.5" customHeight="1">
      <x:c r="A81" s="23" t="n">
        <x:v>45323</x:v>
      </x:c>
      <x:c r="B81" s="42" t="str">
        <x:v>SUI</x:v>
      </x:c>
      <x:c r="C81" s="42" t="str">
        <x:v>新买入</x:v>
      </x:c>
      <x:c r="D81" s="51" t="n">
        <x:v>1.532</x:v>
      </x:c>
      <x:c r="E81" s="51" t="n">
        <x:v>1.6688</x:v>
      </x:c>
      <x:c r="F81" s="24" t="n">
        <x:f>E81/D81-1</x:f>
        <x:v>0.08929503916449089</x:v>
      </x:c>
      <x:c r="G81" s="52" t="n">
        <x:v>45352.010416666664</x:v>
      </x:c>
      <x:c r="H81" s="42" t="str">
        <x:v>下次换仓边界（非必然全卖）</x:v>
      </x:c>
      <x:c r="I81" s="56" t="n">
        <x:v>0.1</x:v>
      </x:c>
      <x:c r="J81" s="57" t="n">
        <x:v>64677.50662300846</x:v>
      </x:c>
      <x:c r="K81" s="58" t="n">
        <x:f>J81*(E81-D81)</x:f>
        <x:v>8847.88290602756</x:v>
      </x:c>
    </x:row>
    <x:row r="82" ht="19.5" customHeight="1">
      <x:c r="A82" s="18" t="n">
        <x:v>45323</x:v>
      </x:c>
      <x:c r="B82" s="35" t="str">
        <x:v>ENS</x:v>
      </x:c>
      <x:c r="C82" s="35" t="str">
        <x:v>新买入</x:v>
      </x:c>
      <x:c r="D82" s="49" t="n">
        <x:v>17.85</x:v>
      </x:c>
      <x:c r="E82" s="49" t="n">
        <x:v>21.031</x:v>
      </x:c>
      <x:c r="F82" s="19" t="n">
        <x:f>E82/D82-1</x:f>
        <x:v>0.17820728291316512</x:v>
      </x:c>
      <x:c r="G82" s="50" t="n">
        <x:v>45352.010416666664</x:v>
      </x:c>
      <x:c r="H82" s="35" t="str">
        <x:v>下次换仓边界（非必然全卖）</x:v>
      </x:c>
      <x:c r="I82" s="53" t="n">
        <x:v>0.1</x:v>
      </x:c>
      <x:c r="J82" s="54" t="n">
        <x:v>5551.033061425712</x:v>
      </x:c>
      <x:c r="K82" s="55" t="n">
        <x:f>J82*(E82-D82)</x:f>
        <x:v>17657.836168395173</x:v>
      </x:c>
    </x:row>
    <x:row r="83" ht="19.5" customHeight="1">
      <x:c r="A83" s="23" t="n">
        <x:v>45323</x:v>
      </x:c>
      <x:c r="B83" s="42" t="str">
        <x:v>MAV</x:v>
      </x:c>
      <x:c r="C83" s="42" t="str">
        <x:v>新买入</x:v>
      </x:c>
      <x:c r="D83" s="51" t="n">
        <x:v>0.6924</x:v>
      </x:c>
      <x:c r="E83" s="51" t="n">
        <x:v>0.6531</x:v>
      </x:c>
      <x:c r="F83" s="24" t="n">
        <x:f>E83/D83-1</x:f>
        <x:v>-0.05675909878682839</x:v>
      </x:c>
      <x:c r="G83" s="52" t="n">
        <x:v>45352.010416666664</x:v>
      </x:c>
      <x:c r="H83" s="42" t="str">
        <x:v>下次换仓边界（非必然全卖）</x:v>
      </x:c>
      <x:c r="I83" s="56" t="n">
        <x:v>0.1</x:v>
      </x:c>
      <x:c r="J83" s="57" t="n">
        <x:v>143105.05509308053</x:v>
      </x:c>
      <x:c r="K83" s="58" t="n">
        <x:f>J83*(E83-D83)</x:f>
        <x:v>-5624.028665158065</x:v>
      </x:c>
    </x:row>
    <x:row r="84" ht="19.5" customHeight="1">
      <x:c r="A84" s="18" t="n">
        <x:v>45323</x:v>
      </x:c>
      <x:c r="B84" s="35" t="str">
        <x:v>TIA</x:v>
      </x:c>
      <x:c r="C84" s="35" t="str">
        <x:v>新买入</x:v>
      </x:c>
      <x:c r="D84" s="49" t="n">
        <x:v>16.2988</x:v>
      </x:c>
      <x:c r="E84" s="49" t="n">
        <x:v>16.5725</x:v>
      </x:c>
      <x:c r="F84" s="19" t="n">
        <x:f>E84/D84-1</x:f>
        <x:v>0.016792647311458575</x:v>
      </x:c>
      <x:c r="G84" s="50" t="n">
        <x:v>45352.010416666664</x:v>
      </x:c>
      <x:c r="H84" s="35" t="str">
        <x:v>下次换仓边界（非必然全卖）</x:v>
      </x:c>
      <x:c r="I84" s="53" t="n">
        <x:v>0.1</x:v>
      </x:c>
      <x:c r="J84" s="54" t="n">
        <x:v>6079.339592267465</x:v>
      </x:c>
      <x:c r="K84" s="55" t="n">
        <x:f>J84*(E84-D84)</x:f>
        <x:v>1663.9152464036151</x:v>
      </x:c>
    </x:row>
    <x:row r="85" ht="19.5" customHeight="1">
      <x:c r="A85" s="23" t="n">
        <x:v>45323</x:v>
      </x:c>
      <x:c r="B85" s="42" t="str">
        <x:v>API3</x:v>
      </x:c>
      <x:c r="C85" s="42" t="str">
        <x:v>新买入</x:v>
      </x:c>
      <x:c r="D85" s="51" t="n">
        <x:v>2.6627</x:v>
      </x:c>
      <x:c r="E85" s="51" t="n">
        <x:v>3.9202</x:v>
      </x:c>
      <x:c r="F85" s="24" t="n">
        <x:f>E85/D85-1</x:f>
        <x:v>0.47226499417884105</x:v>
      </x:c>
      <x:c r="G85" s="52" t="n">
        <x:v>45352.010416666664</x:v>
      </x:c>
      <x:c r="H85" s="42" t="str">
        <x:v>下次换仓边界（非必然全卖）</x:v>
      </x:c>
      <x:c r="I85" s="56" t="n">
        <x:v>0.1</x:v>
      </x:c>
      <x:c r="J85" s="57" t="n">
        <x:v>37212.581269556824</x:v>
      </x:c>
      <x:c r="K85" s="58" t="n">
        <x:f>J85*(E85-D85)</x:f>
        <x:v>46794.8209464677</x:v>
      </x:c>
    </x:row>
    <x:row r="86" ht="19.5" customHeight="1">
      <x:c r="A86" s="18" t="n">
        <x:v>45323</x:v>
      </x:c>
      <x:c r="B86" s="35" t="str">
        <x:v>DUSK</x:v>
      </x:c>
      <x:c r="C86" s="35" t="str">
        <x:v>新买入</x:v>
      </x:c>
      <x:c r="D86" s="49" t="n">
        <x:v>0.25434</x:v>
      </x:c>
      <x:c r="E86" s="49" t="n">
        <x:v>0.32333</x:v>
      </x:c>
      <x:c r="F86" s="19" t="n">
        <x:f>E86/D86-1</x:f>
        <x:v>0.27125108122984987</x:v>
      </x:c>
      <x:c r="G86" s="50" t="n">
        <x:v>45352.010416666664</x:v>
      </x:c>
      <x:c r="H86" s="35" t="str">
        <x:v>下次换仓边界（非必然全卖）</x:v>
      </x:c>
      <x:c r="I86" s="53" t="n">
        <x:v>0.1</x:v>
      </x:c>
      <x:c r="J86" s="54" t="n">
        <x:v>389580.640663871</x:v>
      </x:c>
      <x:c r="K86" s="55" t="n">
        <x:f>J86*(E86-D86)</x:f>
        <x:v>26877.16839940046</x:v>
      </x:c>
    </x:row>
    <x:row r="87" ht="19.5" customHeight="1">
      <x:c r="A87" s="23" t="n">
        <x:v>45323</x:v>
      </x:c>
      <x:c r="B87" s="42" t="str">
        <x:v>RLC</x:v>
      </x:c>
      <x:c r="C87" s="42" t="str">
        <x:v>新买入</x:v>
      </x:c>
      <x:c r="D87" s="51" t="n">
        <x:v>2.3216</x:v>
      </x:c>
      <x:c r="E87" s="51" t="n">
        <x:v>4.1557</x:v>
      </x:c>
      <x:c r="F87" s="24" t="n">
        <x:f>E87/D87-1</x:f>
        <x:v>0.790015506547209</x:v>
      </x:c>
      <x:c r="G87" s="52" t="n">
        <x:v>45352.010416666664</x:v>
      </x:c>
      <x:c r="H87" s="42" t="str">
        <x:v>下次换仓边界（非必然全卖）</x:v>
      </x:c>
      <x:c r="I87" s="56" t="n">
        <x:v>0.1</x:v>
      </x:c>
      <x:c r="J87" s="57" t="n">
        <x:v>42680.02246142701</x:v>
      </x:c>
      <x:c r="K87" s="58" t="n">
        <x:f>J87*(E87-D87)</x:f>
        <x:v>78279.42919650329</x:v>
      </x:c>
    </x:row>
    <x:row r="88" ht="19.5" customHeight="1">
      <x:c r="A88" s="18" t="n">
        <x:v>45352</x:v>
      </x:c>
      <x:c r="B88" s="35" t="str">
        <x:v>JASMY</x:v>
      </x:c>
      <x:c r="C88" s="35" t="str">
        <x:v>新买入</x:v>
      </x:c>
      <x:c r="D88" s="49" t="n">
        <x:v>0.020116</x:v>
      </x:c>
      <x:c r="E88" s="49" t="n">
        <x:v>0.021809</x:v>
      </x:c>
      <x:c r="F88" s="19" t="n">
        <x:f>E88/D88-1</x:f>
        <x:v>0.08416186120501101</x:v>
      </x:c>
      <x:c r="G88" s="50" t="n">
        <x:v>45383.010416666664</x:v>
      </x:c>
      <x:c r="H88" s="35" t="str">
        <x:v>下次换仓边界（非必然全卖）</x:v>
      </x:c>
      <x:c r="I88" s="53" t="n">
        <x:v>0.1</x:v>
      </x:c>
      <x:c r="J88" s="54" t="n">
        <x:v>6243144.254259804</x:v>
      </x:c>
      <x:c r="K88" s="55" t="n">
        <x:f>J88*(E88-D88)</x:f>
        <x:v>10569.64322246185</x:v>
      </x:c>
    </x:row>
    <x:row r="89" ht="19.5" customHeight="1">
      <x:c r="A89" s="23" t="n">
        <x:v>45352</x:v>
      </x:c>
      <x:c r="B89" s="42" t="str">
        <x:v>ARKM</x:v>
      </x:c>
      <x:c r="C89" s="42" t="str">
        <x:v>新买入</x:v>
      </x:c>
      <x:c r="D89" s="51" t="n">
        <x:v>2.2185</x:v>
      </x:c>
      <x:c r="E89" s="51" t="n">
        <x:v>2.6098</x:v>
      </x:c>
      <x:c r="F89" s="24" t="n">
        <x:f>E89/D89-1</x:f>
        <x:v>0.17638043723236407</x:v>
      </x:c>
      <x:c r="G89" s="52" t="n">
        <x:v>45383.010416666664</x:v>
      </x:c>
      <x:c r="H89" s="42" t="str">
        <x:v>下次换仓边界（非必然全卖）</x:v>
      </x:c>
      <x:c r="I89" s="56" t="n">
        <x:v>0.1</x:v>
      </x:c>
      <x:c r="J89" s="57" t="n">
        <x:v>56609.01051101654</x:v>
      </x:c>
      <x:c r="K89" s="58" t="n">
        <x:f>J89*(E89-D89)</x:f>
        <x:v>22151.10581296076</x:v>
      </x:c>
    </x:row>
    <x:row r="90" ht="19.5" customHeight="1">
      <x:c r="A90" s="18" t="n">
        <x:v>45352</x:v>
      </x:c>
      <x:c r="B90" s="35" t="str">
        <x:v>COTI</x:v>
      </x:c>
      <x:c r="C90" s="35" t="str">
        <x:v>新买入</x:v>
      </x:c>
      <x:c r="D90" s="49" t="n">
        <x:v>0.21196</x:v>
      </x:c>
      <x:c r="E90" s="49" t="n">
        <x:v>0.18749</x:v>
      </x:c>
      <x:c r="F90" s="19" t="n">
        <x:f>E90/D90-1</x:f>
        <x:v>-0.11544631062464628</x:v>
      </x:c>
      <x:c r="G90" s="50" t="n">
        <x:v>45383.010416666664</x:v>
      </x:c>
      <x:c r="H90" s="35" t="str">
        <x:v>下次换仓边界（非必然全卖）</x:v>
      </x:c>
      <x:c r="I90" s="53" t="n">
        <x:v>0.1</x:v>
      </x:c>
      <x:c r="J90" s="54" t="n">
        <x:v>592503.7262629279</x:v>
      </x:c>
      <x:c r="K90" s="55" t="n">
        <x:f>J90*(E90-D90)</x:f>
        <x:v>-14498.566181653856</x:v>
      </x:c>
    </x:row>
    <x:row r="91" ht="19.5" customHeight="1">
      <x:c r="A91" s="23" t="n">
        <x:v>45352</x:v>
      </x:c>
      <x:c r="B91" s="42" t="str">
        <x:v>CKB</x:v>
      </x:c>
      <x:c r="C91" s="42" t="str">
        <x:v>新买入</x:v>
      </x:c>
      <x:c r="D91" s="51" t="n">
        <x:v>0.015318</x:v>
      </x:c>
      <x:c r="E91" s="51" t="n">
        <x:v>0.020175</x:v>
      </x:c>
      <x:c r="F91" s="24" t="n">
        <x:f>E91/D91-1</x:f>
        <x:v>0.3170779475127301</x:v>
      </x:c>
      <x:c r="G91" s="52" t="n">
        <x:v>45383.010416666664</x:v>
      </x:c>
      <x:c r="H91" s="42" t="str">
        <x:v>下次换仓边界（非必然全卖）</x:v>
      </x:c>
      <x:c r="I91" s="56" t="n">
        <x:v>0.1</x:v>
      </x:c>
      <x:c r="J91" s="57" t="n">
        <x:v>8198661.040520316</x:v>
      </x:c>
      <x:c r="K91" s="58" t="n">
        <x:f>J91*(E91-D91)</x:f>
        <x:v>39820.89667380716</x:v>
      </x:c>
    </x:row>
    <x:row r="92" ht="19.5" customHeight="1">
      <x:c r="A92" s="18" t="n">
        <x:v>45352</x:v>
      </x:c>
      <x:c r="B92" s="35" t="str">
        <x:v>WIF</x:v>
      </x:c>
      <x:c r="C92" s="35" t="str">
        <x:v>新买入</x:v>
      </x:c>
      <x:c r="D92" s="49" t="n">
        <x:v>0.8583</x:v>
      </x:c>
      <x:c r="E92" s="49" t="n">
        <x:v>4.5615</x:v>
      </x:c>
      <x:c r="F92" s="19" t="n">
        <x:f>E92/D92-1</x:f>
        <x:v>4.314575323313527</x:v>
      </x:c>
      <x:c r="G92" s="50" t="n">
        <x:v>45383.010416666664</x:v>
      </x:c>
      <x:c r="H92" s="35" t="str">
        <x:v>下次换仓边界（非必然全卖）</x:v>
      </x:c>
      <x:c r="I92" s="53" t="n">
        <x:v>0.1</x:v>
      </x:c>
      <x:c r="J92" s="54" t="n">
        <x:v>146320.73845821997</x:v>
      </x:c>
      <x:c r="K92" s="55" t="n">
        <x:f>J92*(E92-D92)</x:f>
        <x:v>541854.9586584802</x:v>
      </x:c>
    </x:row>
    <x:row r="93" ht="19.5" customHeight="1">
      <x:c r="A93" s="23" t="n">
        <x:v>45352</x:v>
      </x:c>
      <x:c r="B93" s="42" t="str">
        <x:v>WLD</x:v>
      </x:c>
      <x:c r="C93" s="42" t="str">
        <x:v>新买入</x:v>
      </x:c>
      <x:c r="D93" s="51" t="n">
        <x:v>7.4423</x:v>
      </x:c>
      <x:c r="E93" s="51" t="n">
        <x:v>8.2694</x:v>
      </x:c>
      <x:c r="F93" s="24" t="n">
        <x:f>E93/D93-1</x:f>
        <x:v>0.11113499858914566</x:v>
      </x:c>
      <x:c r="G93" s="52" t="n">
        <x:v>45383.010416666664</x:v>
      </x:c>
      <x:c r="H93" s="42" t="str">
        <x:v>下次换仓边界（非必然全卖）</x:v>
      </x:c>
      <x:c r="I93" s="56" t="n">
        <x:v>0.1</x:v>
      </x:c>
      <x:c r="J93" s="57" t="n">
        <x:v>16874.76852837029</x:v>
      </x:c>
      <x:c r="K93" s="58" t="n">
        <x:f>J93*(E93-D93)</x:f>
        <x:v>13957.121049815047</x:v>
      </x:c>
    </x:row>
    <x:row r="94" ht="19.5" customHeight="1">
      <x:c r="A94" s="18" t="n">
        <x:v>45352</x:v>
      </x:c>
      <x:c r="B94" s="35" t="str">
        <x:v>AR</x:v>
      </x:c>
      <x:c r="C94" s="35" t="str">
        <x:v>新买入</x:v>
      </x:c>
      <x:c r="D94" s="49" t="n">
        <x:v>26.979</x:v>
      </x:c>
      <x:c r="E94" s="49" t="n">
        <x:v>38.95</x:v>
      </x:c>
      <x:c r="F94" s="19" t="n">
        <x:f>E94/D94-1</x:f>
        <x:v>0.4437154824122467</x:v>
      </x:c>
      <x:c r="G94" s="50" t="n">
        <x:v>45383.010416666664</x:v>
      </x:c>
      <x:c r="H94" s="35" t="str">
        <x:v>下次换仓边界（非必然全卖）</x:v>
      </x:c>
      <x:c r="I94" s="53" t="n">
        <x:v>0.1</x:v>
      </x:c>
      <x:c r="J94" s="54" t="n">
        <x:v>4654.9942480703585</x:v>
      </x:c>
      <x:c r="K94" s="55" t="n">
        <x:f>J94*(E94-D94)</x:f>
        <x:v>55724.93614365028</x:v>
      </x:c>
    </x:row>
    <x:row r="95" ht="19.5" customHeight="1">
      <x:c r="A95" s="23" t="n">
        <x:v>45352</x:v>
      </x:c>
      <x:c r="B95" s="42" t="str">
        <x:v>1000PEPE</x:v>
      </x:c>
      <x:c r="C95" s="42" t="str">
        <x:v>新买入</x:v>
      </x:c>
      <x:c r="D95" s="51" t="n">
        <x:v>0.0027147</x:v>
      </x:c>
      <x:c r="E95" s="51" t="n">
        <x:v>0.0087411</x:v>
      </x:c>
      <x:c r="F95" s="24" t="n">
        <x:f>E95/D95-1</x:f>
        <x:v>2.2199138026301246</x:v>
      </x:c>
      <x:c r="G95" s="52" t="n">
        <x:v>45383.010416666664</x:v>
      </x:c>
      <x:c r="H95" s="42" t="str">
        <x:v>下次换仓边界（非必然全卖）</x:v>
      </x:c>
      <x:c r="I95" s="56" t="n">
        <x:v>0.1</x:v>
      </x:c>
      <x:c r="J95" s="57" t="n">
        <x:v>46261866.80616282</x:v>
      </x:c>
      <x:c r="K95" s="58" t="n">
        <x:f>J95*(E95-D95)</x:f>
        <x:v>278792.5141206596</x:v>
      </x:c>
    </x:row>
    <x:row r="96" ht="19.5" customHeight="1">
      <x:c r="A96" s="18" t="n">
        <x:v>45352</x:v>
      </x:c>
      <x:c r="B96" s="35" t="str">
        <x:v>SPELL</x:v>
      </x:c>
      <x:c r="C96" s="35" t="str">
        <x:v>新买入</x:v>
      </x:c>
      <x:c r="D96" s="49" t="n">
        <x:v>0.0013692</x:v>
      </x:c>
      <x:c r="E96" s="49" t="n">
        <x:v>0.0012855</x:v>
      </x:c>
      <x:c r="F96" s="19" t="n">
        <x:f>E96/D96-1</x:f>
        <x:v>-0.06113058720420694</x:v>
      </x:c>
      <x:c r="G96" s="50" t="n">
        <x:v>45383.010416666664</x:v>
      </x:c>
      <x:c r="H96" s="35" t="str">
        <x:v>下次换仓边界（非必然全卖）</x:v>
      </x:c>
      <x:c r="I96" s="53" t="n">
        <x:v>0.1</x:v>
      </x:c>
      <x:c r="J96" s="54" t="n">
        <x:v>91722969.48487452</x:v>
      </x:c>
      <x:c r="K96" s="55" t="n">
        <x:f>J96*(E96-D96)</x:f>
        <x:v>-7677.21254588401</x:v>
      </x:c>
    </x:row>
    <x:row r="97" ht="19.5" customHeight="1">
      <x:c r="A97" s="23" t="n">
        <x:v>45352</x:v>
      </x:c>
      <x:c r="B97" s="42" t="str">
        <x:v>AGIX</x:v>
      </x:c>
      <x:c r="C97" s="42" t="str">
        <x:v>新买入</x:v>
      </x:c>
      <x:c r="D97" s="51" t="n">
        <x:v>0.7291</x:v>
      </x:c>
      <x:c r="E97" s="51" t="n">
        <x:v>1.2695</x:v>
      </x:c>
      <x:c r="F97" s="24" t="n">
        <x:f>E97/D97-1</x:f>
        <x:v>0.7411877657385819</x:v>
      </x:c>
      <x:c r="G97" s="52" t="n">
        <x:v>45383.010416666664</x:v>
      </x:c>
      <x:c r="H97" s="42" t="str">
        <x:v>下次换仓边界（非必然全卖）</x:v>
      </x:c>
      <x:c r="I97" s="56" t="n">
        <x:v>0.1</x:v>
      </x:c>
      <x:c r="J97" s="57" t="n">
        <x:v>172249.47170304513</x:v>
      </x:c>
      <x:c r="K97" s="58" t="n">
        <x:f>J97*(E97-D97)</x:f>
        <x:v>93083.6145083256</x:v>
      </x:c>
    </x:row>
    <x:row r="98" ht="19.5" customHeight="1">
      <x:c r="A98" s="18" t="n">
        <x:v>45383</x:v>
      </x:c>
      <x:c r="B98" s="35" t="str">
        <x:v>WIF</x:v>
      </x:c>
      <x:c r="C98" s="35" t="str">
        <x:v>续持调仓</x:v>
      </x:c>
      <x:c r="D98" s="49" t="n">
        <x:v>4.5615</x:v>
      </x:c>
      <x:c r="E98" s="49" t="n">
        <x:v>2.4805</x:v>
      </x:c>
      <x:c r="F98" s="19" t="n">
        <x:f>E98/D98-1</x:f>
        <x:v>-0.45620958018195756</x:v>
      </x:c>
      <x:c r="G98" s="50" t="n">
        <x:v>45413.010416666664</x:v>
      </x:c>
      <x:c r="H98" s="35" t="str">
        <x:v>下次换仓边界（非必然全卖）</x:v>
      </x:c>
      <x:c r="I98" s="53" t="n">
        <x:v>0.1</x:v>
      </x:c>
      <x:c r="J98" s="54" t="n">
        <x:v>50082.76659961252</x:v>
      </x:c>
      <x:c r="K98" s="55" t="n">
        <x:f>J98*(E98-D98)</x:f>
        <x:v>-104222.23729379363</x:v>
      </x:c>
    </x:row>
    <x:row r="99" ht="19.5" customHeight="1">
      <x:c r="A99" s="23" t="n">
        <x:v>45383</x:v>
      </x:c>
      <x:c r="B99" s="42" t="str">
        <x:v>1000FLOKI</x:v>
      </x:c>
      <x:c r="C99" s="42" t="str">
        <x:v>新买入</x:v>
      </x:c>
      <x:c r="D99" s="51" t="n">
        <x:v>0.24631</x:v>
      </x:c>
      <x:c r="E99" s="51" t="n">
        <x:v>0.15571</x:v>
      </x:c>
      <x:c r="F99" s="24" t="n">
        <x:f>E99/D99-1</x:f>
        <x:v>-0.3678291583776542</x:v>
      </x:c>
      <x:c r="G99" s="52" t="n">
        <x:v>45413.010416666664</x:v>
      </x:c>
      <x:c r="H99" s="42" t="str">
        <x:v>下次换仓边界（非必然全卖）</x:v>
      </x:c>
      <x:c r="I99" s="56" t="n">
        <x:v>0.1</x:v>
      </x:c>
      <x:c r="J99" s="57" t="n">
        <x:v>927500.060266057</x:v>
      </x:c>
      <x:c r="K99" s="58" t="n">
        <x:f>J99*(E99-D99)</x:f>
        <x:v>-84031.50546010477</x:v>
      </x:c>
    </x:row>
    <x:row r="100" ht="19.5" customHeight="1">
      <x:c r="A100" s="18" t="n">
        <x:v>45383</x:v>
      </x:c>
      <x:c r="B100" s="35" t="str">
        <x:v>TOKEN</x:v>
      </x:c>
      <x:c r="C100" s="35" t="str">
        <x:v>新买入</x:v>
      </x:c>
      <x:c r="D100" s="49" t="n">
        <x:v>0.17799</x:v>
      </x:c>
      <x:c r="E100" s="49" t="n">
        <x:v>0.09652</x:v>
      </x:c>
      <x:c r="F100" s="19" t="n">
        <x:f>E100/D100-1</x:f>
        <x:v>-0.4577223439519075</x:v>
      </x:c>
      <x:c r="G100" s="50" t="n">
        <x:v>45413.010416666664</x:v>
      </x:c>
      <x:c r="H100" s="35" t="str">
        <x:v>下次换仓边界（非必然全卖）</x:v>
      </x:c>
      <x:c r="I100" s="53" t="n">
        <x:v>0.1</x:v>
      </x:c>
      <x:c r="J100" s="54" t="n">
        <x:v>1283513.3425705517</x:v>
      </x:c>
      <x:c r="K100" s="55" t="n">
        <x:f>J100*(E100-D100)</x:f>
        <x:v>-104567.83201922286</x:v>
      </x:c>
    </x:row>
    <x:row r="101" ht="19.5" customHeight="1">
      <x:c r="A101" s="23" t="n">
        <x:v>45383</x:v>
      </x:c>
      <x:c r="B101" s="42" t="str">
        <x:v>POLYX</x:v>
      </x:c>
      <x:c r="C101" s="42" t="str">
        <x:v>新买入</x:v>
      </x:c>
      <x:c r="D101" s="51" t="n">
        <x:v>0.64105</x:v>
      </x:c>
      <x:c r="E101" s="51" t="n">
        <x:v>0.33943</x:v>
      </x:c>
      <x:c r="F101" s="24" t="n">
        <x:f>E101/D101-1</x:f>
        <x:v>-0.4705093206458154</x:v>
      </x:c>
      <x:c r="G101" s="52" t="n">
        <x:v>45413.010416666664</x:v>
      </x:c>
      <x:c r="H101" s="42" t="str">
        <x:v>下次换仓边界（非必然全卖）</x:v>
      </x:c>
      <x:c r="I101" s="56" t="n">
        <x:v>0.1</x:v>
      </x:c>
      <x:c r="J101" s="57" t="n">
        <x:v>356372.4200048865</x:v>
      </x:c>
      <x:c r="K101" s="58" t="n">
        <x:f>J101*(E101-D101)</x:f>
        <x:v>-107489.04932187387</x:v>
      </x:c>
    </x:row>
    <x:row r="102" ht="19.5" customHeight="1">
      <x:c r="A102" s="18" t="n">
        <x:v>45383</x:v>
      </x:c>
      <x:c r="B102" s="35" t="str">
        <x:v>1000PEPE</x:v>
      </x:c>
      <x:c r="C102" s="35" t="str">
        <x:v>续持调仓</x:v>
      </x:c>
      <x:c r="D102" s="49" t="n">
        <x:v>0.0087411</x:v>
      </x:c>
      <x:c r="E102" s="49" t="n">
        <x:v>0.006644</x:v>
      </x:c>
      <x:c r="F102" s="19" t="n">
        <x:f>E102/D102-1</x:f>
        <x:v>-0.23991259681275812</x:v>
      </x:c>
      <x:c r="G102" s="50" t="n">
        <x:v>45413.010416666664</x:v>
      </x:c>
      <x:c r="H102" s="35" t="str">
        <x:v>下次换仓边界（非必然全卖）</x:v>
      </x:c>
      <x:c r="I102" s="53" t="n">
        <x:v>0.1</x:v>
      </x:c>
      <x:c r="J102" s="54" t="n">
        <x:v>26135445.177853186</x:v>
      </x:c>
      <x:c r="K102" s="55" t="n">
        <x:f>J102*(E102-D102)</x:f>
        <x:v>-54808.64208247592</x:v>
      </x:c>
    </x:row>
    <x:row r="103" ht="19.5" customHeight="1">
      <x:c r="A103" s="23" t="n">
        <x:v>45383</x:v>
      </x:c>
      <x:c r="B103" s="42" t="str">
        <x:v>JUP</x:v>
      </x:c>
      <x:c r="C103" s="42" t="str">
        <x:v>新买入</x:v>
      </x:c>
      <x:c r="D103" s="51" t="n">
        <x:v>1.7724</x:v>
      </x:c>
      <x:c r="E103" s="51" t="n">
        <x:v>0.92</x:v>
      </x:c>
      <x:c r="F103" s="24" t="n">
        <x:f>E103/D103-1</x:f>
        <x:v>-0.4809298126833672</x:v>
      </x:c>
      <x:c r="G103" s="52" t="n">
        <x:v>45413.010416666664</x:v>
      </x:c>
      <x:c r="H103" s="42" t="str">
        <x:v>下次换仓边界（非必然全卖）</x:v>
      </x:c>
      <x:c r="I103" s="56" t="n">
        <x:v>0.1</x:v>
      </x:c>
      <x:c r="J103" s="57" t="n">
        <x:v>128894.45940201562</x:v>
      </x:c>
      <x:c r="K103" s="58" t="n">
        <x:f>J103*(E103-D103)</x:f>
        <x:v>-109869.63719427811</x:v>
      </x:c>
    </x:row>
    <x:row r="104" ht="19.5" customHeight="1">
      <x:c r="A104" s="18" t="n">
        <x:v>45383</x:v>
      </x:c>
      <x:c r="B104" s="35" t="str">
        <x:v>OM</x:v>
      </x:c>
      <x:c r="C104" s="35" t="str">
        <x:v>新买入</x:v>
      </x:c>
      <x:c r="D104" s="49" t="n">
        <x:v>0.71451</x:v>
      </x:c>
      <x:c r="E104" s="49" t="n">
        <x:v>0.64676</x:v>
      </x:c>
      <x:c r="F104" s="19" t="n">
        <x:f>E104/D104-1</x:f>
        <x:v>-0.09482022644889498</x:v>
      </x:c>
      <x:c r="G104" s="50" t="n">
        <x:v>45413.010416666664</x:v>
      </x:c>
      <x:c r="H104" s="35" t="str">
        <x:v>下次换仓边界（非必然全卖）</x:v>
      </x:c>
      <x:c r="I104" s="53" t="n">
        <x:v>0.1</x:v>
      </x:c>
      <x:c r="J104" s="54" t="n">
        <x:v>319733.15956968063</x:v>
      </x:c>
      <x:c r="K104" s="55" t="n">
        <x:f>J104*(E104-D104)</x:f>
        <x:v>-21661.921560845854</x:v>
      </x:c>
    </x:row>
    <x:row r="105" ht="19.5" customHeight="1">
      <x:c r="A105" s="23" t="n">
        <x:v>45383</x:v>
      </x:c>
      <x:c r="B105" s="42" t="str">
        <x:v>RSR</x:v>
      </x:c>
      <x:c r="C105" s="42" t="str">
        <x:v>新买入</x:v>
      </x:c>
      <x:c r="D105" s="51" t="n">
        <x:v>0.01064</x:v>
      </x:c>
      <x:c r="E105" s="51" t="n">
        <x:v>0.005423</x:v>
      </x:c>
      <x:c r="F105" s="24" t="n">
        <x:f>E105/D105-1</x:f>
        <x:v>-0.49031954887218043</x:v>
      </x:c>
      <x:c r="G105" s="52" t="n">
        <x:v>45413.010416666664</x:v>
      </x:c>
      <x:c r="H105" s="42" t="str">
        <x:v>下次换仓边界（非必然全卖）</x:v>
      </x:c>
      <x:c r="I105" s="56" t="n">
        <x:v>0.1</x:v>
      </x:c>
      <x:c r="J105" s="57" t="n">
        <x:v>21471103.368809443</x:v>
      </x:c>
      <x:c r="K105" s="58" t="n">
        <x:f>J105*(E105-D105)</x:f>
        <x:v>-112014.74627507887</x:v>
      </x:c>
    </x:row>
    <x:row r="106" ht="19.5" customHeight="1">
      <x:c r="A106" s="18" t="n">
        <x:v>45383</x:v>
      </x:c>
      <x:c r="B106" s="35" t="str">
        <x:v>YGG</x:v>
      </x:c>
      <x:c r="C106" s="35" t="str">
        <x:v>新买入</x:v>
      </x:c>
      <x:c r="D106" s="49" t="n">
        <x:v>1.6896</x:v>
      </x:c>
      <x:c r="E106" s="49" t="n">
        <x:v>0.7714</x:v>
      </x:c>
      <x:c r="F106" s="19" t="n">
        <x:f>E106/D106-1</x:f>
        <x:v>-0.5434422348484849</x:v>
      </x:c>
      <x:c r="G106" s="50" t="n">
        <x:v>45413.010416666664</x:v>
      </x:c>
      <x:c r="H106" s="35" t="str">
        <x:v>下次换仓边界（非必然全卖）</x:v>
      </x:c>
      <x:c r="I106" s="53" t="n">
        <x:v>0.1</x:v>
      </x:c>
      <x:c r="J106" s="54" t="n">
        <x:v>135211.02026759737</x:v>
      </x:c>
      <x:c r="K106" s="55" t="n">
        <x:f>J106*(E106-D106)</x:f>
        <x:v>-124150.75880970791</x:v>
      </x:c>
    </x:row>
    <x:row r="107" ht="19.5" customHeight="1">
      <x:c r="A107" s="23" t="n">
        <x:v>45383</x:v>
      </x:c>
      <x:c r="B107" s="42" t="str">
        <x:v>1000SHIB</x:v>
      </x:c>
      <x:c r="C107" s="42" t="str">
        <x:v>新买入</x:v>
      </x:c>
      <x:c r="D107" s="51" t="n">
        <x:v>0.030564</x:v>
      </x:c>
      <x:c r="E107" s="51" t="n">
        <x:v>0.022286</x:v>
      </x:c>
      <x:c r="F107" s="24" t="n">
        <x:f>E107/D107-1</x:f>
        <x:v>-0.2708415128909829</x:v>
      </x:c>
      <x:c r="G107" s="52" t="n">
        <x:v>45413.010416666664</x:v>
      </x:c>
      <x:c r="H107" s="42" t="str">
        <x:v>下次换仓边界（非必然全卖）</x:v>
      </x:c>
      <x:c r="I107" s="56" t="n">
        <x:v>0.1</x:v>
      </x:c>
      <x:c r="J107" s="57" t="n">
        <x:v>7474562.8793395</x:v>
      </x:c>
      <x:c r="K107" s="58" t="n">
        <x:f>J107*(E107-D107)</x:f>
        <x:v>-61874.431515172386</x:v>
      </x:c>
    </x:row>
    <x:row r="108" ht="19.5" customHeight="1">
      <x:c r="A108" s="18" t="n">
        <x:v>45413</x:v>
      </x:c>
      <x:c r="B108" s="35" t="str">
        <x:v>BNX</x:v>
      </x:c>
      <x:c r="C108" s="35" t="str">
        <x:v>新买入</x:v>
      </x:c>
      <x:c r="D108" s="49" t="n">
        <x:v>0.955</x:v>
      </x:c>
      <x:c r="E108" s="49" t="n">
        <x:v>1.0204</x:v>
      </x:c>
      <x:c r="F108" s="19" t="n">
        <x:f>E108/D108-1</x:f>
        <x:v>0.06848167539267025</x:v>
      </x:c>
      <x:c r="G108" s="50" t="n">
        <x:v>45444.010416666664</x:v>
      </x:c>
      <x:c r="H108" s="35" t="str">
        <x:v>下次换仓边界（非必然全卖）</x:v>
      </x:c>
      <x:c r="I108" s="53" t="n">
        <x:v>0.1</x:v>
      </x:c>
      <x:c r="J108" s="54" t="n">
        <x:v>146169.69419954458</x:v>
      </x:c>
      <x:c r="K108" s="55" t="n">
        <x:f>J108*(E108-D108)</x:f>
        <x:v>9559.498000650217</x:v>
      </x:c>
    </x:row>
    <x:row r="109" ht="19.5" customHeight="1">
      <x:c r="A109" s="23" t="n">
        <x:v>45413</x:v>
      </x:c>
      <x:c r="B109" s="42" t="str">
        <x:v>HIGH</x:v>
      </x:c>
      <x:c r="C109" s="42" t="str">
        <x:v>新买入</x:v>
      </x:c>
      <x:c r="D109" s="51" t="n">
        <x:v>3.3955</x:v>
      </x:c>
      <x:c r="E109" s="51" t="n">
        <x:v>7.1054</x:v>
      </x:c>
      <x:c r="F109" s="24" t="n">
        <x:f>E109/D109-1</x:f>
        <x:v>1.092593137976734</x:v>
      </x:c>
      <x:c r="G109" s="52" t="n">
        <x:v>45444.010416666664</x:v>
      </x:c>
      <x:c r="H109" s="42" t="str">
        <x:v>下次换仓边界（非必然全卖）</x:v>
      </x:c>
      <x:c r="I109" s="56" t="n">
        <x:v>0.1</x:v>
      </x:c>
      <x:c r="J109" s="57" t="n">
        <x:v>41110.89911958918</x:v>
      </x:c>
      <x:c r="K109" s="58" t="n">
        <x:f>J109*(E109-D109)</x:f>
        <x:v>152517.32464376392</x:v>
      </x:c>
    </x:row>
    <x:row r="110" ht="19.5" customHeight="1">
      <x:c r="A110" s="18" t="n">
        <x:v>45413</x:v>
      </x:c>
      <x:c r="B110" s="35" t="str">
        <x:v>ONG</x:v>
      </x:c>
      <x:c r="C110" s="35" t="str">
        <x:v>新买入</x:v>
      </x:c>
      <x:c r="D110" s="49" t="n">
        <x:v>0.5796</x:v>
      </x:c>
      <x:c r="E110" s="49" t="n">
        <x:v>0.43328</x:v>
      </x:c>
      <x:c r="F110" s="19" t="n">
        <x:f>E110/D110-1</x:f>
        <x:v>-0.2524499654934438</x:v>
      </x:c>
      <x:c r="G110" s="50" t="n">
        <x:v>45444.010416666664</x:v>
      </x:c>
      <x:c r="H110" s="35" t="str">
        <x:v>下次换仓边界（非必然全卖）</x:v>
      </x:c>
      <x:c r="I110" s="53" t="n">
        <x:v>0.1</x:v>
      </x:c>
      <x:c r="J110" s="54" t="n">
        <x:v>240842.05997336967</x:v>
      </x:c>
      <x:c r="K110" s="55" t="n">
        <x:f>J110*(E110-D110)</x:f>
        <x:v>-35240.01021530345</x:v>
      </x:c>
    </x:row>
    <x:row r="111" ht="19.5" customHeight="1">
      <x:c r="A111" s="23" t="n">
        <x:v>45413</x:v>
      </x:c>
      <x:c r="B111" s="42" t="str">
        <x:v>ATA</x:v>
      </x:c>
      <x:c r="C111" s="42" t="str">
        <x:v>新买入</x:v>
      </x:c>
      <x:c r="D111" s="51" t="n">
        <x:v>0.2073</x:v>
      </x:c>
      <x:c r="E111" s="51" t="n">
        <x:v>0.1787</x:v>
      </x:c>
      <x:c r="F111" s="24" t="n">
        <x:f>E111/D111-1</x:f>
        <x:v>-0.13796430294259532</x:v>
      </x:c>
      <x:c r="G111" s="52" t="n">
        <x:v>45444.010416666664</x:v>
      </x:c>
      <x:c r="H111" s="42" t="str">
        <x:v>下次换仓边界（非必然全卖）</x:v>
      </x:c>
      <x:c r="I111" s="56" t="n">
        <x:v>0.1</x:v>
      </x:c>
      <x:c r="J111" s="57" t="n">
        <x:v>673381.8521976124</x:v>
      </x:c>
      <x:c r="K111" s="58" t="n">
        <x:f>J111*(E111-D111)</x:f>
        <x:v>-19258.720972851723</x:v>
      </x:c>
    </x:row>
    <x:row r="112" ht="19.5" customHeight="1">
      <x:c r="A112" s="18" t="n">
        <x:v>45413</x:v>
      </x:c>
      <x:c r="B112" s="35" t="str">
        <x:v>LEVER</x:v>
      </x:c>
      <x:c r="C112" s="35" t="str">
        <x:v>新买入</x:v>
      </x:c>
      <x:c r="D112" s="49" t="n">
        <x:v>0.0029764</x:v>
      </x:c>
      <x:c r="E112" s="49" t="n">
        <x:v>0.003643</x:v>
      </x:c>
      <x:c r="F112" s="19" t="n">
        <x:f>E112/D112-1</x:f>
        <x:v>0.2239618330869506</x:v>
      </x:c>
      <x:c r="G112" s="50" t="n">
        <x:v>45444.010416666664</x:v>
      </x:c>
      <x:c r="H112" s="35" t="str">
        <x:v>下次换仓边界（非必然全卖）</x:v>
      </x:c>
      <x:c r="I112" s="53" t="n">
        <x:v>0.1</x:v>
      </x:c>
      <x:c r="J112" s="54" t="n">
        <x:v>46899629.7408161</x:v>
      </x:c>
      <x:c r="K112" s="55" t="n">
        <x:f>J112*(E112-D112)</x:f>
        <x:v>31263.293185228005</x:v>
      </x:c>
    </x:row>
    <x:row r="113" ht="19.5" customHeight="1">
      <x:c r="A113" s="23" t="n">
        <x:v>45413</x:v>
      </x:c>
      <x:c r="B113" s="42" t="str">
        <x:v>SFP</x:v>
      </x:c>
      <x:c r="C113" s="42" t="str">
        <x:v>新买入</x:v>
      </x:c>
      <x:c r="D113" s="51" t="n">
        <x:v>0.8184</x:v>
      </x:c>
      <x:c r="E113" s="51" t="n">
        <x:v>0.8125</x:v>
      </x:c>
      <x:c r="F113" s="24" t="n">
        <x:f>E113/D113-1</x:f>
        <x:v>-0.007209188660801558</x:v>
      </x:c>
      <x:c r="G113" s="52" t="n">
        <x:v>45444.010416666664</x:v>
      </x:c>
      <x:c r="H113" s="42" t="str">
        <x:v>下次换仓边界（非必然全卖）</x:v>
      </x:c>
      <x:c r="I113" s="56" t="n">
        <x:v>0.1</x:v>
      </x:c>
      <x:c r="J113" s="57" t="n">
        <x:v>170567.03074360345</x:v>
      </x:c>
      <x:c r="K113" s="58" t="n">
        <x:f>J113*(E113-D113)</x:f>
        <x:v>-1006.3454813872631</x:v>
      </x:c>
    </x:row>
    <x:row r="114" ht="19.5" customHeight="1">
      <x:c r="A114" s="18" t="n">
        <x:v>45413</x:v>
      </x:c>
      <x:c r="B114" s="35" t="str">
        <x:v>NEO</x:v>
      </x:c>
      <x:c r="C114" s="35" t="str">
        <x:v>新买入</x:v>
      </x:c>
      <x:c r="D114" s="49" t="n">
        <x:v>16.637</x:v>
      </x:c>
      <x:c r="E114" s="49" t="n">
        <x:v>14.587</x:v>
      </x:c>
      <x:c r="F114" s="19" t="n">
        <x:f>E114/D114-1</x:f>
        <x:v>-0.12321933040812649</x:v>
      </x:c>
      <x:c r="G114" s="50" t="n">
        <x:v>45444.010416666664</x:v>
      </x:c>
      <x:c r="H114" s="35" t="str">
        <x:v>下次换仓边界（非必然全卖）</x:v>
      </x:c>
      <x:c r="I114" s="53" t="n">
        <x:v>0.1</x:v>
      </x:c>
      <x:c r="J114" s="54" t="n">
        <x:v>8390.458493752783</x:v>
      </x:c>
      <x:c r="K114" s="55" t="n">
        <x:f>J114*(E114-D114)</x:f>
        <x:v>-17200.43991219321</x:v>
      </x:c>
    </x:row>
    <x:row r="115" ht="19.5" customHeight="1">
      <x:c r="A115" s="23" t="n">
        <x:v>45413</x:v>
      </x:c>
      <x:c r="B115" s="42" t="str">
        <x:v>ONT</x:v>
      </x:c>
      <x:c r="C115" s="42" t="str">
        <x:v>新买入</x:v>
      </x:c>
      <x:c r="D115" s="51" t="n">
        <x:v>0.3663</x:v>
      </x:c>
      <x:c r="E115" s="51" t="n">
        <x:v>0.2929</x:v>
      </x:c>
      <x:c r="F115" s="24" t="n">
        <x:f>E115/D115-1</x:f>
        <x:v>-0.20038220038220045</x:v>
      </x:c>
      <x:c r="G115" s="52" t="n">
        <x:v>45444.010416666664</x:v>
      </x:c>
      <x:c r="H115" s="42" t="str">
        <x:v>下次换仓边界（非必然全卖）</x:v>
      </x:c>
      <x:c r="I115" s="56" t="n">
        <x:v>0.1</x:v>
      </x:c>
      <x:c r="J115" s="57" t="n">
        <x:v>381086.6993190419</x:v>
      </x:c>
      <x:c r="K115" s="58" t="n">
        <x:f>J115*(E115-D115)</x:f>
        <x:v>-27971.763730017683</x:v>
      </x:c>
    </x:row>
    <x:row r="116" ht="19.5" customHeight="1">
      <x:c r="A116" s="18" t="n">
        <x:v>45413</x:v>
      </x:c>
      <x:c r="B116" s="35" t="str">
        <x:v>TRX</x:v>
      </x:c>
      <x:c r="C116" s="35" t="str">
        <x:v>新买入</x:v>
      </x:c>
      <x:c r="D116" s="49" t="n">
        <x:v>0.1197</x:v>
      </x:c>
      <x:c r="E116" s="49" t="n">
        <x:v>0.11211</x:v>
      </x:c>
      <x:c r="F116" s="19" t="n">
        <x:f>E116/D116-1</x:f>
        <x:v>-0.06340852130325814</x:v>
      </x:c>
      <x:c r="G116" s="50" t="n">
        <x:v>45444.010416666664</x:v>
      </x:c>
      <x:c r="H116" s="35" t="str">
        <x:v>下次换仓边界（非必然全卖）</x:v>
      </x:c>
      <x:c r="I116" s="53" t="n">
        <x:v>0.1</x:v>
      </x:c>
      <x:c r="J116" s="54" t="n">
        <x:v>1166182.6061868425</x:v>
      </x:c>
      <x:c r="K116" s="55" t="n">
        <x:f>J116*(E116-D116)</x:f>
        <x:v>-8851.325980958134</x:v>
      </x:c>
    </x:row>
    <x:row r="117" ht="19.5" customHeight="1">
      <x:c r="A117" s="23" t="n">
        <x:v>45413</x:v>
      </x:c>
      <x:c r="B117" s="42" t="str">
        <x:v>BNB</x:v>
      </x:c>
      <x:c r="C117" s="42" t="str">
        <x:v>新买入</x:v>
      </x:c>
      <x:c r="D117" s="51" t="n">
        <x:v>577.39</x:v>
      </x:c>
      <x:c r="E117" s="51" t="n">
        <x:v>594.31</x:v>
      </x:c>
      <x:c r="F117" s="24" t="n">
        <x:f>E117/D117-1</x:f>
        <x:v>0.029304283066904357</x:v>
      </x:c>
      <x:c r="G117" s="52" t="n">
        <x:v>45444.010416666664</x:v>
      </x:c>
      <x:c r="H117" s="42" t="str">
        <x:v>下次换仓边界（非必然全卖）</x:v>
      </x:c>
      <x:c r="I117" s="56" t="n">
        <x:v>0.1</x:v>
      </x:c>
      <x:c r="J117" s="57" t="n">
        <x:v>241.7638995489445</x:v>
      </x:c>
      <x:c r="K117" s="58" t="n">
        <x:f>J117*(E117-D117)</x:f>
        <x:v>4090.645180368131</x:v>
      </x:c>
    </x:row>
    <x:row r="118" ht="19.5" customHeight="1">
      <x:c r="A118" s="18" t="n">
        <x:v>45444</x:v>
      </x:c>
      <x:c r="B118" s="35" t="str">
        <x:v>PEOPLE</x:v>
      </x:c>
      <x:c r="C118" s="35" t="str">
        <x:v>新买入</x:v>
      </x:c>
      <x:c r="D118" s="49" t="n">
        <x:v>0.08642</x:v>
      </x:c>
      <x:c r="E118" s="49" t="n">
        <x:v>0.0931</x:v>
      </x:c>
      <x:c r="F118" s="19" t="n">
        <x:f>E118/D118-1</x:f>
        <x:v>0.07729692200879423</x:v>
      </x:c>
      <x:c r="G118" s="50" t="n">
        <x:v>45474.010416666664</x:v>
      </x:c>
      <x:c r="H118" s="35" t="str">
        <x:v>下次换仓边界（非必然全卖）</x:v>
      </x:c>
      <x:c r="I118" s="53" t="n">
        <x:v>0.1</x:v>
      </x:c>
      <x:c r="J118" s="54" t="n">
        <x:v>1712667.9984824043</x:v>
      </x:c>
      <x:c r="K118" s="55" t="n">
        <x:f>J118*(E118-D118)</x:f>
        <x:v>11440.622229862469</x:v>
      </x:c>
    </x:row>
    <x:row r="119" ht="19.5" customHeight="1">
      <x:c r="A119" s="23" t="n">
        <x:v>45444</x:v>
      </x:c>
      <x:c r="B119" s="42" t="str">
        <x:v>1000PEPE</x:v>
      </x:c>
      <x:c r="C119" s="42" t="str">
        <x:v>新买入</x:v>
      </x:c>
      <x:c r="D119" s="51" t="n">
        <x:v>0.0153627</x:v>
      </x:c>
      <x:c r="E119" s="51" t="n">
        <x:v>0.0117677</x:v>
      </x:c>
      <x:c r="F119" s="24" t="n">
        <x:f>E119/D119-1</x:f>
        <x:v>-0.23400834488729194</x:v>
      </x:c>
      <x:c r="G119" s="52" t="n">
        <x:v>45474.010416666664</x:v>
      </x:c>
      <x:c r="H119" s="42" t="str">
        <x:v>下次换仓边界（非必然全卖）</x:v>
      </x:c>
      <x:c r="I119" s="56" t="n">
        <x:v>0.1</x:v>
      </x:c>
      <x:c r="J119" s="57" t="n">
        <x:v>9634293.999677751</x:v>
      </x:c>
      <x:c r="K119" s="58" t="n">
        <x:f>J119*(E119-D119)</x:f>
        <x:v>-34635.28692884151</x:v>
      </x:c>
    </x:row>
    <x:row r="120" ht="19.5" customHeight="1">
      <x:c r="A120" s="18" t="n">
        <x:v>45444</x:v>
      </x:c>
      <x:c r="B120" s="35" t="str">
        <x:v>TRB</x:v>
      </x:c>
      <x:c r="C120" s="35" t="str">
        <x:v>新买入</x:v>
      </x:c>
      <x:c r="D120" s="49" t="n">
        <x:v>110.162</x:v>
      </x:c>
      <x:c r="E120" s="49" t="n">
        <x:v>97.252</x:v>
      </x:c>
      <x:c r="F120" s="19" t="n">
        <x:f>E120/D120-1</x:f>
        <x:v>-0.11719104591419915</x:v>
      </x:c>
      <x:c r="G120" s="50" t="n">
        <x:v>45474.010416666664</x:v>
      </x:c>
      <x:c r="H120" s="35" t="str">
        <x:v>下次换仓边界（非必然全卖）</x:v>
      </x:c>
      <x:c r="I120" s="53" t="n">
        <x:v>0.1</x:v>
      </x:c>
      <x:c r="J120" s="54" t="n">
        <x:v>1343.5555675173778</x:v>
      </x:c>
      <x:c r="K120" s="55" t="n">
        <x:f>J120*(E120-D120)</x:f>
        <x:v>-17345.30237664936</x:v>
      </x:c>
    </x:row>
    <x:row r="121" ht="19.5" customHeight="1">
      <x:c r="A121" s="23" t="n">
        <x:v>45444</x:v>
      </x:c>
      <x:c r="B121" s="42" t="str">
        <x:v>HIGH</x:v>
      </x:c>
      <x:c r="C121" s="42" t="str">
        <x:v>续持调仓</x:v>
      </x:c>
      <x:c r="D121" s="51" t="n">
        <x:v>7.1054</x:v>
      </x:c>
      <x:c r="E121" s="51" t="n">
        <x:v>1.9019</x:v>
      </x:c>
      <x:c r="F121" s="24" t="n">
        <x:f>E121/D121-1</x:f>
        <x:v>-0.7323303403045571</x:v>
      </x:c>
      <x:c r="G121" s="52" t="n">
        <x:v>45474.010416666664</x:v>
      </x:c>
      <x:c r="H121" s="42" t="str">
        <x:v>下次换仓边界（非必然全卖）</x:v>
      </x:c>
      <x:c r="I121" s="56" t="n">
        <x:v>0.1</x:v>
      </x:c>
      <x:c r="J121" s="57" t="n">
        <x:v>20830.46252552275</x:v>
      </x:c>
      <x:c r="K121" s="58" t="n">
        <x:f>J121*(E121-D121)</x:f>
        <x:v>-108391.31175155763</x:v>
      </x:c>
    </x:row>
    <x:row r="122" ht="19.5" customHeight="1">
      <x:c r="A122" s="18" t="n">
        <x:v>45444</x:v>
      </x:c>
      <x:c r="B122" s="35" t="str">
        <x:v>JASMY</x:v>
      </x:c>
      <x:c r="C122" s="35" t="str">
        <x:v>新买入</x:v>
      </x:c>
      <x:c r="D122" s="49" t="n">
        <x:v>0.03398</x:v>
      </x:c>
      <x:c r="E122" s="49" t="n">
        <x:v>0.028825</x:v>
      </x:c>
      <x:c r="F122" s="19" t="n">
        <x:f>E122/D122-1</x:f>
        <x:v>-0.15170688640376706</x:v>
      </x:c>
      <x:c r="G122" s="50" t="n">
        <x:v>45474.010416666664</x:v>
      </x:c>
      <x:c r="H122" s="35" t="str">
        <x:v>下次换仓边界（非必然全卖）</x:v>
      </x:c>
      <x:c r="I122" s="53" t="n">
        <x:v>0.1</x:v>
      </x:c>
      <x:c r="J122" s="54" t="n">
        <x:v>4355761.2839567205</x:v>
      </x:c>
      <x:c r="K122" s="55" t="n">
        <x:f>J122*(E122-D122)</x:f>
        <x:v>-22453.94941879691</x:v>
      </x:c>
    </x:row>
    <x:row r="123" ht="19.5" customHeight="1">
      <x:c r="A123" s="23" t="n">
        <x:v>45444</x:v>
      </x:c>
      <x:c r="B123" s="42" t="str">
        <x:v>MYRO</x:v>
      </x:c>
      <x:c r="C123" s="42" t="str">
        <x:v>新买入</x:v>
      </x:c>
      <x:c r="D123" s="51" t="n">
        <x:v>0.25312</x:v>
      </x:c>
      <x:c r="E123" s="51" t="n">
        <x:v>0.13851</x:v>
      </x:c>
      <x:c r="F123" s="24" t="n">
        <x:f>E123/D123-1</x:f>
        <x:v>-0.45278919089759806</x:v>
      </x:c>
      <x:c r="G123" s="52" t="n">
        <x:v>45474.010416666664</x:v>
      </x:c>
      <x:c r="H123" s="42" t="str">
        <x:v>下次换仓边界（非必然全卖）</x:v>
      </x:c>
      <x:c r="I123" s="56" t="n">
        <x:v>0.1</x:v>
      </x:c>
      <x:c r="J123" s="57" t="n">
        <x:v>584737.549102597</x:v>
      </x:c>
      <x:c r="K123" s="58" t="n">
        <x:f>J123*(E123-D123)</x:f>
        <x:v>-67016.77050264867</x:v>
      </x:c>
    </x:row>
    <x:row r="124" ht="19.5" customHeight="1">
      <x:c r="A124" s="18" t="n">
        <x:v>45444</x:v>
      </x:c>
      <x:c r="B124" s="35" t="str">
        <x:v>LPT</x:v>
      </x:c>
      <x:c r="C124" s="35" t="str">
        <x:v>新买入</x:v>
      </x:c>
      <x:c r="D124" s="49" t="n">
        <x:v>22.882</x:v>
      </x:c>
      <x:c r="E124" s="49" t="n">
        <x:v>16.702</x:v>
      </x:c>
      <x:c r="F124" s="19" t="n">
        <x:f>E124/D124-1</x:f>
        <x:v>-0.27008128660082154</x:v>
      </x:c>
      <x:c r="G124" s="50" t="n">
        <x:v>45474.010416666664</x:v>
      </x:c>
      <x:c r="H124" s="35" t="str">
        <x:v>下次换仓边界（非必然全卖）</x:v>
      </x:c>
      <x:c r="I124" s="53" t="n">
        <x:v>0.1</x:v>
      </x:c>
      <x:c r="J124" s="54" t="n">
        <x:v>6468.34928891047</x:v>
      </x:c>
      <x:c r="K124" s="55" t="n">
        <x:f>J124*(E124-D124)</x:f>
        <x:v>-39974.398605466704</x:v>
      </x:c>
    </x:row>
    <x:row r="125" ht="19.5" customHeight="1">
      <x:c r="A125" s="23" t="n">
        <x:v>45444</x:v>
      </x:c>
      <x:c r="B125" s="42" t="str">
        <x:v>ENS</x:v>
      </x:c>
      <x:c r="C125" s="42" t="str">
        <x:v>新买入</x:v>
      </x:c>
      <x:c r="D125" s="51" t="n">
        <x:v>26.298</x:v>
      </x:c>
      <x:c r="E125" s="51" t="n">
        <x:v>30.871</x:v>
      </x:c>
      <x:c r="F125" s="24" t="n">
        <x:f>E125/D125-1</x:f>
        <x:v>0.17389155068826523</x:v>
      </x:c>
      <x:c r="G125" s="52" t="n">
        <x:v>45474.010416666664</x:v>
      </x:c>
      <x:c r="H125" s="42" t="str">
        <x:v>下次换仓边界（非必然全卖）</x:v>
      </x:c>
      <x:c r="I125" s="56" t="n">
        <x:v>0.1</x:v>
      </x:c>
      <x:c r="J125" s="57" t="n">
        <x:v>5628.137821463586</x:v>
      </x:c>
      <x:c r="K125" s="58" t="n">
        <x:f>J125*(E125-D125)</x:f>
        <x:v>25737.47425755298</x:v>
      </x:c>
    </x:row>
    <x:row r="126" ht="19.5" customHeight="1">
      <x:c r="A126" s="18" t="n">
        <x:v>45444</x:v>
      </x:c>
      <x:c r="B126" s="35" t="str">
        <x:v>PHB</x:v>
      </x:c>
      <x:c r="C126" s="35" t="str">
        <x:v>新买入</x:v>
      </x:c>
      <x:c r="D126" s="49" t="n">
        <x:v>2.6998</x:v>
      </x:c>
      <x:c r="E126" s="49" t="n">
        <x:v>1.8927</x:v>
      </x:c>
      <x:c r="F126" s="19" t="n">
        <x:f>E126/D126-1</x:f>
        <x:v>-0.2989480702274243</x:v>
      </x:c>
      <x:c r="G126" s="50" t="n">
        <x:v>45474.010416666664</x:v>
      </x:c>
      <x:c r="H126" s="35" t="str">
        <x:v>下次换仓边界（非必然全卖）</x:v>
      </x:c>
      <x:c r="I126" s="53" t="n">
        <x:v>0.1</x:v>
      </x:c>
      <x:c r="J126" s="54" t="n">
        <x:v>54822.12327907599</x:v>
      </x:c>
      <x:c r="K126" s="55" t="n">
        <x:f>J126*(E126-D126)</x:f>
        <x:v>-44246.93569854224</x:v>
      </x:c>
    </x:row>
    <x:row r="127" ht="19.5" customHeight="1">
      <x:c r="A127" s="23" t="n">
        <x:v>45444</x:v>
      </x:c>
      <x:c r="B127" s="42" t="str">
        <x:v>TRU</x:v>
      </x:c>
      <x:c r="C127" s="42" t="str">
        <x:v>新买入</x:v>
      </x:c>
      <x:c r="D127" s="51" t="n">
        <x:v>0.17315</x:v>
      </x:c>
      <x:c r="E127" s="51" t="n">
        <x:v>0.12384</x:v>
      </x:c>
      <x:c r="F127" s="24" t="n">
        <x:f>E127/D127-1</x:f>
        <x:v>-0.2847819809413803</x:v>
      </x:c>
      <x:c r="G127" s="52" t="n">
        <x:v>45474.010416666664</x:v>
      </x:c>
      <x:c r="H127" s="42" t="str">
        <x:v>下次换仓边界（非必然全卖）</x:v>
      </x:c>
      <x:c r="I127" s="56" t="n">
        <x:v>0.1</x:v>
      </x:c>
      <x:c r="J127" s="57" t="n">
        <x:v>854800.8572269672</x:v>
      </x:c>
      <x:c r="K127" s="58" t="n">
        <x:f>J127*(E127-D127)</x:f>
        <x:v>-42150.23026986175</x:v>
      </x:c>
    </x:row>
    <x:row r="128" ht="19.5" customHeight="1">
      <x:c r="A128" s="18" t="n">
        <x:v>45474</x:v>
      </x:c>
      <x:c r="B128" s="35" t="str">
        <x:v>KAS</x:v>
      </x:c>
      <x:c r="C128" s="35" t="str">
        <x:v>新买入</x:v>
      </x:c>
      <x:c r="D128" s="49" t="n">
        <x:v>0.19141</x:v>
      </x:c>
      <x:c r="E128" s="49" t="n">
        <x:v>0.20684</x:v>
      </x:c>
      <x:c r="F128" s="19" t="n">
        <x:f>E128/D128-1</x:f>
        <x:v>0.08061229820803506</x:v>
      </x:c>
      <x:c r="G128" s="50" t="n">
        <x:v>45505.010416666664</x:v>
      </x:c>
      <x:c r="H128" s="35" t="str">
        <x:v>下次换仓边界（非必然全卖）</x:v>
      </x:c>
      <x:c r="I128" s="53" t="n">
        <x:v>0.1</x:v>
      </x:c>
      <x:c r="J128" s="54" t="n">
        <x:v>594795.3528295056</x:v>
      </x:c>
      <x:c r="K128" s="55" t="n">
        <x:f>J128*(E128-D128)</x:f>
        <x:v>9177.692294159271</x:v>
      </x:c>
    </x:row>
    <x:row r="129" ht="19.5" customHeight="1">
      <x:c r="A129" s="23" t="n">
        <x:v>45474</x:v>
      </x:c>
      <x:c r="B129" s="42" t="str">
        <x:v>NOT</x:v>
      </x:c>
      <x:c r="C129" s="42" t="str">
        <x:v>新买入</x:v>
      </x:c>
      <x:c r="D129" s="51" t="n">
        <x:v>0.014496</x:v>
      </x:c>
      <x:c r="E129" s="51" t="n">
        <x:v>0.012779</x:v>
      </x:c>
      <x:c r="F129" s="24" t="n">
        <x:f>E129/D129-1</x:f>
        <x:v>-0.11844646799116998</x:v>
      </x:c>
      <x:c r="G129" s="52" t="n">
        <x:v>45505.010416666664</x:v>
      </x:c>
      <x:c r="H129" s="42" t="str">
        <x:v>下次换仓边界（非必然全卖）</x:v>
      </x:c>
      <x:c r="I129" s="56" t="n">
        <x:v>0.1</x:v>
      </x:c>
      <x:c r="J129" s="57" t="n">
        <x:v>7853875.447371389</x:v>
      </x:c>
      <x:c r="K129" s="58" t="n">
        <x:f>J129*(E129-D129)</x:f>
        <x:v>-13485.104143136672</x:v>
      </x:c>
    </x:row>
    <x:row r="130" ht="19.5" customHeight="1">
      <x:c r="A130" s="18" t="n">
        <x:v>45474</x:v>
      </x:c>
      <x:c r="B130" s="35" t="str">
        <x:v>TON</x:v>
      </x:c>
      <x:c r="C130" s="35" t="str">
        <x:v>新买入</x:v>
      </x:c>
      <x:c r="D130" s="49" t="n">
        <x:v>7.6718</x:v>
      </x:c>
      <x:c r="E130" s="49" t="n">
        <x:v>6.7823</x:v>
      </x:c>
      <x:c r="F130" s="19" t="n">
        <x:f>E130/D130-1</x:f>
        <x:v>-0.1159441069892333</x:v>
      </x:c>
      <x:c r="G130" s="50" t="n">
        <x:v>45505.010416666664</x:v>
      </x:c>
      <x:c r="H130" s="35" t="str">
        <x:v>下次换仓边界（非必然全卖）</x:v>
      </x:c>
      <x:c r="I130" s="53" t="n">
        <x:v>0.1</x:v>
      </x:c>
      <x:c r="J130" s="54" t="n">
        <x:v>14840.034735667725</x:v>
      </x:c>
      <x:c r="K130" s="55" t="n">
        <x:f>J130*(E130-D130)</x:f>
        <x:v>-13200.21089737644</x:v>
      </x:c>
    </x:row>
    <x:row r="131" ht="19.5" customHeight="1">
      <x:c r="A131" s="23" t="n">
        <x:v>45474</x:v>
      </x:c>
      <x:c r="B131" s="42" t="str">
        <x:v>ENS</x:v>
      </x:c>
      <x:c r="C131" s="42" t="str">
        <x:v>续持调仓</x:v>
      </x:c>
      <x:c r="D131" s="51" t="n">
        <x:v>30.871</x:v>
      </x:c>
      <x:c r="E131" s="51" t="n">
        <x:v>25.368</x:v>
      </x:c>
      <x:c r="F131" s="24" t="n">
        <x:f>E131/D131-1</x:f>
        <x:v>-0.17825791195620488</x:v>
      </x:c>
      <x:c r="G131" s="52" t="n">
        <x:v>45505.010416666664</x:v>
      </x:c>
      <x:c r="H131" s="42" t="str">
        <x:v>下次换仓边界（非必然全卖）</x:v>
      </x:c>
      <x:c r="I131" s="56" t="n">
        <x:v>0.1</x:v>
      </x:c>
      <x:c r="J131" s="57" t="n">
        <x:v>3687.920005347921</x:v>
      </x:c>
      <x:c r="K131" s="58" t="n">
        <x:f>J131*(E131-D131)</x:f>
        <x:v>-20294.62378942961</x:v>
      </x:c>
    </x:row>
    <x:row r="132" ht="19.5" customHeight="1">
      <x:c r="A132" s="18" t="n">
        <x:v>45474</x:v>
      </x:c>
      <x:c r="B132" s="35" t="str">
        <x:v>XMR</x:v>
      </x:c>
      <x:c r="C132" s="35" t="str">
        <x:v>新买入</x:v>
      </x:c>
      <x:c r="D132" s="49" t="n">
        <x:v>168.67</x:v>
      </x:c>
      <x:c r="E132" s="49" t="n">
        <x:v>157.84</x:v>
      </x:c>
      <x:c r="F132" s="19" t="n">
        <x:f>E132/D132-1</x:f>
        <x:v>-0.06420821722890846</x:v>
      </x:c>
      <x:c r="G132" s="50" t="n">
        <x:v>45505.010416666664</x:v>
      </x:c>
      <x:c r="H132" s="35" t="str">
        <x:v>下次换仓边界（非必然全卖）</x:v>
      </x:c>
      <x:c r="I132" s="53" t="n">
        <x:v>0.1</x:v>
      </x:c>
      <x:c r="J132" s="54" t="n">
        <x:v>674.9853470391632</x:v>
      </x:c>
      <x:c r="K132" s="55" t="n">
        <x:f>J132*(E132-D132)</x:f>
        <x:v>-7310.091308434127</x:v>
      </x:c>
    </x:row>
    <x:row r="133" ht="19.5" customHeight="1">
      <x:c r="A133" s="23" t="n">
        <x:v>45474</x:v>
      </x:c>
      <x:c r="B133" s="42" t="str">
        <x:v>TRX</x:v>
      </x:c>
      <x:c r="C133" s="42" t="str">
        <x:v>新买入</x:v>
      </x:c>
      <x:c r="D133" s="51" t="n">
        <x:v>0.12472</x:v>
      </x:c>
      <x:c r="E133" s="51" t="n">
        <x:v>0.12867</x:v>
      </x:c>
      <x:c r="F133" s="24" t="n">
        <x:f>E133/D133-1</x:f>
        <x:v>0.031670942912123135</x:v>
      </x:c>
      <x:c r="G133" s="52" t="n">
        <x:v>45505.010416666664</x:v>
      </x:c>
      <x:c r="H133" s="42" t="str">
        <x:v>下次换仓边界（非必然全卖）</x:v>
      </x:c>
      <x:c r="I133" s="56" t="n">
        <x:v>0.1</x:v>
      </x:c>
      <x:c r="J133" s="57" t="n">
        <x:v>912842.9961922358</x:v>
      </x:c>
      <x:c r="K133" s="58" t="n">
        <x:f>J133*(E133-D133)</x:f>
        <x:v>3605.7298349593398</x:v>
      </x:c>
    </x:row>
    <x:row r="134" ht="19.5" customHeight="1">
      <x:c r="A134" s="18" t="n">
        <x:v>45474</x:v>
      </x:c>
      <x:c r="B134" s="35" t="str">
        <x:v>PEOPLE</x:v>
      </x:c>
      <x:c r="C134" s="35" t="str">
        <x:v>续持调仓</x:v>
      </x:c>
      <x:c r="D134" s="49" t="n">
        <x:v>0.0931</x:v>
      </x:c>
      <x:c r="E134" s="49" t="n">
        <x:v>0.06898</x:v>
      </x:c>
      <x:c r="F134" s="19" t="n">
        <x:f>E134/D134-1</x:f>
        <x:v>-0.2590762620837809</x:v>
      </x:c>
      <x:c r="G134" s="50" t="n">
        <x:v>45505.010416666664</x:v>
      </x:c>
      <x:c r="H134" s="35" t="str">
        <x:v>下次换仓边界（非必然全卖）</x:v>
      </x:c>
      <x:c r="I134" s="53" t="n">
        <x:v>0.1</x:v>
      </x:c>
      <x:c r="J134" s="54" t="n">
        <x:v>1222876.2458119832</x:v>
      </x:c>
      <x:c r="K134" s="55" t="n">
        <x:f>J134*(E134-D134)</x:f>
        <x:v>-29495.77504898504</x:v>
      </x:c>
    </x:row>
    <x:row r="135" ht="19.5" customHeight="1">
      <x:c r="A135" s="23" t="n">
        <x:v>45474</x:v>
      </x:c>
      <x:c r="B135" s="42" t="str">
        <x:v>UNFI</x:v>
      </x:c>
      <x:c r="C135" s="42" t="str">
        <x:v>新买入</x:v>
      </x:c>
      <x:c r="D135" s="51" t="n">
        <x:v>5.109</x:v>
      </x:c>
      <x:c r="E135" s="51" t="n">
        <x:v>3.77</x:v>
      </x:c>
      <x:c r="F135" s="24" t="n">
        <x:f>E135/D135-1</x:f>
        <x:v>-0.2620865139949109</x:v>
      </x:c>
      <x:c r="G135" s="52" t="n">
        <x:v>45505.010416666664</x:v>
      </x:c>
      <x:c r="H135" s="42" t="str">
        <x:v>下次换仓边界（非必然全卖）</x:v>
      </x:c>
      <x:c r="I135" s="56" t="n">
        <x:v>0.1</x:v>
      </x:c>
      <x:c r="J135" s="57" t="n">
        <x:v>22284.16098749181</x:v>
      </x:c>
      <x:c r="K135" s="58" t="n">
        <x:f>J135*(E135-D135)</x:f>
        <x:v>-29838.491562251533</x:v>
      </x:c>
    </x:row>
    <x:row r="136" ht="19.5" customHeight="1">
      <x:c r="A136" s="18" t="n">
        <x:v>45474</x:v>
      </x:c>
      <x:c r="B136" s="35" t="str">
        <x:v>OM</x:v>
      </x:c>
      <x:c r="C136" s="35" t="str">
        <x:v>新买入</x:v>
      </x:c>
      <x:c r="D136" s="49" t="n">
        <x:v>0.78307</x:v>
      </x:c>
      <x:c r="E136" s="49" t="n">
        <x:v>1.15806</x:v>
      </x:c>
      <x:c r="F136" s="19" t="n">
        <x:f>E136/D136-1</x:f>
        <x:v>0.47887162067248146</x:v>
      </x:c>
      <x:c r="G136" s="50" t="n">
        <x:v>45505.010416666664</x:v>
      </x:c>
      <x:c r="H136" s="35" t="str">
        <x:v>下次换仓边界（非必然全卖）</x:v>
      </x:c>
      <x:c r="I136" s="53" t="n">
        <x:v>0.1</x:v>
      </x:c>
      <x:c r="J136" s="54" t="n">
        <x:v>145389.0182041141</x:v>
      </x:c>
      <x:c r="K136" s="55" t="n">
        <x:f>J136*(E136-D136)</x:f>
        <x:v>54519.42793636076</x:v>
      </x:c>
    </x:row>
    <x:row r="137" ht="19.5" customHeight="1">
      <x:c r="A137" s="23" t="n">
        <x:v>45474</x:v>
      </x:c>
      <x:c r="B137" s="42" t="str">
        <x:v>SFP</x:v>
      </x:c>
      <x:c r="C137" s="42" t="str">
        <x:v>新买入</x:v>
      </x:c>
      <x:c r="D137" s="51" t="n">
        <x:v>0.8383</x:v>
      </x:c>
      <x:c r="E137" s="51" t="n">
        <x:v>0.7723</x:v>
      </x:c>
      <x:c r="F137" s="24" t="n">
        <x:f>E137/D137-1</x:f>
        <x:v>-0.07873076464272943</x:v>
      </x:c>
      <x:c r="G137" s="52" t="n">
        <x:v>45505.010416666664</x:v>
      </x:c>
      <x:c r="H137" s="42" t="str">
        <x:v>下次换仓边界（非必然全卖）</x:v>
      </x:c>
      <x:c r="I137" s="56" t="n">
        <x:v>0.1</x:v>
      </x:c>
      <x:c r="J137" s="57" t="n">
        <x:v>135810.30476571113</x:v>
      </x:c>
      <x:c r="K137" s="58" t="n">
        <x:f>J137*(E137-D137)</x:f>
        <x:v>-8963.480114536942</x:v>
      </x:c>
    </x:row>
    <x:row r="138" ht="19.5" customHeight="1">
      <x:c r="A138" s="18" t="n">
        <x:v>45505</x:v>
      </x:c>
      <x:c r="B138" s="35" t="str">
        <x:v>STMX</x:v>
      </x:c>
      <x:c r="C138" s="35" t="str">
        <x:v>新买入</x:v>
      </x:c>
      <x:c r="D138" s="49" t="n">
        <x:v>0.00859</x:v>
      </x:c>
      <x:c r="E138" s="49" t="n">
        <x:v>0.00638</x:v>
      </x:c>
      <x:c r="F138" s="19" t="n">
        <x:f>E138/D138-1</x:f>
        <x:v>-0.25727590221187424</x:v>
      </x:c>
      <x:c r="G138" s="50" t="n">
        <x:v>45536.010416666664</x:v>
      </x:c>
      <x:c r="H138" s="35" t="str">
        <x:v>下次换仓边界（非必然全卖）</x:v>
      </x:c>
      <x:c r="I138" s="53" t="n">
        <x:v>0.1</x:v>
      </x:c>
      <x:c r="J138" s="54" t="n">
        <x:v>12578419.27228945</x:v>
      </x:c>
      <x:c r="K138" s="55" t="n">
        <x:f>J138*(E138-D138)</x:f>
        <x:v>-27798.306591759687</x:v>
      </x:c>
    </x:row>
    <x:row r="139" ht="19.5" customHeight="1">
      <x:c r="A139" s="23" t="n">
        <x:v>45505</x:v>
      </x:c>
      <x:c r="B139" s="42" t="str">
        <x:v>BNX</x:v>
      </x:c>
      <x:c r="C139" s="42" t="str">
        <x:v>新买入</x:v>
      </x:c>
      <x:c r="D139" s="51" t="n">
        <x:v>1.4391</x:v>
      </x:c>
      <x:c r="E139" s="51" t="n">
        <x:v>1.3254</x:v>
      </x:c>
      <x:c r="F139" s="24" t="n">
        <x:f>E139/D139-1</x:f>
        <x:v>-0.07900771315405475</x:v>
      </x:c>
      <x:c r="G139" s="52" t="n">
        <x:v>45536.010416666664</x:v>
      </x:c>
      <x:c r="H139" s="42" t="str">
        <x:v>下次换仓边界（非必然全卖）</x:v>
      </x:c>
      <x:c r="I139" s="56" t="n">
        <x:v>0.1</x:v>
      </x:c>
      <x:c r="J139" s="57" t="n">
        <x:v>75080.69039605751</x:v>
      </x:c>
      <x:c r="K139" s="58" t="n">
        <x:f>J139*(E139-D139)</x:f>
        <x:v>-8536.674498031749</x:v>
      </x:c>
    </x:row>
    <x:row r="140" ht="19.5" customHeight="1">
      <x:c r="A140" s="18" t="n">
        <x:v>45505</x:v>
      </x:c>
      <x:c r="B140" s="35" t="str">
        <x:v>ZEC</x:v>
      </x:c>
      <x:c r="C140" s="35" t="str">
        <x:v>新买入</x:v>
      </x:c>
      <x:c r="D140" s="49" t="n">
        <x:v>33.12</x:v>
      </x:c>
      <x:c r="E140" s="49" t="n">
        <x:v>32.4</x:v>
      </x:c>
      <x:c r="F140" s="19" t="n">
        <x:f>E140/D140-1</x:f>
        <x:v>-0.021739130434782594</x:v>
      </x:c>
      <x:c r="G140" s="50" t="n">
        <x:v>45536.010416666664</x:v>
      </x:c>
      <x:c r="H140" s="35" t="str">
        <x:v>下次换仓边界（非必然全卖）</x:v>
      </x:c>
      <x:c r="I140" s="53" t="n">
        <x:v>0.1</x:v>
      </x:c>
      <x:c r="J140" s="54" t="n">
        <x:v>3262.3376071547823</x:v>
      </x:c>
      <x:c r="K140" s="55" t="n">
        <x:f>J140*(E140-D140)</x:f>
        <x:v>-2348.8830771514395</x:v>
      </x:c>
    </x:row>
    <x:row r="141" ht="19.5" customHeight="1">
      <x:c r="A141" s="23" t="n">
        <x:v>45505</x:v>
      </x:c>
      <x:c r="B141" s="42" t="str">
        <x:v>XEM</x:v>
      </x:c>
      <x:c r="C141" s="42" t="str">
        <x:v>新买入</x:v>
      </x:c>
      <x:c r="D141" s="51" t="n">
        <x:v>0.0219</x:v>
      </x:c>
      <x:c r="E141" s="51" t="n">
        <x:v>0.0174</x:v>
      </x:c>
      <x:c r="F141" s="24" t="n">
        <x:f>E141/D141-1</x:f>
        <x:v>-0.20547945205479456</x:v>
      </x:c>
      <x:c r="G141" s="52" t="n">
        <x:v>45536.010416666664</x:v>
      </x:c>
      <x:c r="H141" s="42" t="str">
        <x:v>下次换仓边界（非必然全卖）</x:v>
      </x:c>
      <x:c r="I141" s="56" t="n">
        <x:v>0.1</x:v>
      </x:c>
      <x:c r="J141" s="57" t="n">
        <x:v>4933727.011368328</x:v>
      </x:c>
      <x:c r="K141" s="58" t="n">
        <x:f>J141*(E141-D141)</x:f>
        <x:v>-22201.77155115748</x:v>
      </x:c>
    </x:row>
    <x:row r="142" ht="19.5" customHeight="1">
      <x:c r="A142" s="18" t="n">
        <x:v>45505</x:v>
      </x:c>
      <x:c r="B142" s="35" t="str">
        <x:v>OM</x:v>
      </x:c>
      <x:c r="C142" s="35" t="str">
        <x:v>续持调仓</x:v>
      </x:c>
      <x:c r="D142" s="49" t="n">
        <x:v>1.15806</x:v>
      </x:c>
      <x:c r="E142" s="49" t="n">
        <x:v>0.90723</x:v>
      </x:c>
      <x:c r="F142" s="19" t="n">
        <x:f>E142/D142-1</x:f>
        <x:v>-0.2165949950779753</x:v>
      </x:c>
      <x:c r="G142" s="50" t="n">
        <x:v>45536.010416666664</x:v>
      </x:c>
      <x:c r="H142" s="35" t="str">
        <x:v>下次换仓边界（非必然全卖）</x:v>
      </x:c>
      <x:c r="I142" s="53" t="n">
        <x:v>0.1</x:v>
      </x:c>
      <x:c r="J142" s="54" t="n">
        <x:v>93301.40195582817</x:v>
      </x:c>
      <x:c r="K142" s="55" t="n">
        <x:f>J142*(E142-D142)</x:f>
        <x:v>-23402.790652580392</x:v>
      </x:c>
    </x:row>
    <x:row r="143" ht="19.5" customHeight="1">
      <x:c r="A143" s="23" t="n">
        <x:v>45505</x:v>
      </x:c>
      <x:c r="B143" s="42" t="str">
        <x:v>MEW</x:v>
      </x:c>
      <x:c r="C143" s="42" t="str">
        <x:v>新买入</x:v>
      </x:c>
      <x:c r="D143" s="51" t="n">
        <x:v>0.006603</x:v>
      </x:c>
      <x:c r="E143" s="51" t="n">
        <x:v>0.0041</x:v>
      </x:c>
      <x:c r="F143" s="24" t="n">
        <x:f>E143/D143-1</x:f>
        <x:v>-0.37907011964258663</x:v>
      </x:c>
      <x:c r="G143" s="52" t="n">
        <x:v>45536.010416666664</x:v>
      </x:c>
      <x:c r="H143" s="42" t="str">
        <x:v>下次换仓边界（非必然全卖）</x:v>
      </x:c>
      <x:c r="I143" s="56" t="n">
        <x:v>0.1</x:v>
      </x:c>
      <x:c r="J143" s="57" t="n">
        <x:v>16363565.28077637</x:v>
      </x:c>
      <x:c r="K143" s="58" t="n">
        <x:f>J143*(E143-D143)</x:f>
        <x:v>-40958.00389778325</x:v>
      </x:c>
    </x:row>
    <x:row r="144" ht="19.5" customHeight="1">
      <x:c r="A144" s="18" t="n">
        <x:v>45505</x:v>
      </x:c>
      <x:c r="B144" s="35" t="str">
        <x:v>ZEN</x:v>
      </x:c>
      <x:c r="C144" s="35" t="str">
        <x:v>新买入</x:v>
      </x:c>
      <x:c r="D144" s="49" t="n">
        <x:v>9.628</x:v>
      </x:c>
      <x:c r="E144" s="49" t="n">
        <x:v>7.315</x:v>
      </x:c>
      <x:c r="F144" s="19" t="n">
        <x:f>E144/D144-1</x:f>
        <x:v>-0.2402368093061903</x:v>
      </x:c>
      <x:c r="G144" s="50" t="n">
        <x:v>45536.010416666664</x:v>
      </x:c>
      <x:c r="H144" s="35" t="str">
        <x:v>下次换仓边界（非必然全卖）</x:v>
      </x:c>
      <x:c r="I144" s="53" t="n">
        <x:v>0.1</x:v>
      </x:c>
      <x:c r="J144" s="54" t="n">
        <x:v>11222.332940274862</x:v>
      </x:c>
      <x:c r="K144" s="55" t="n">
        <x:f>J144*(E144-D144)</x:f>
        <x:v>-25957.256090855753</x:v>
      </x:c>
    </x:row>
    <x:row r="145" ht="19.5" customHeight="1">
      <x:c r="A145" s="23" t="n">
        <x:v>45505</x:v>
      </x:c>
      <x:c r="B145" s="42" t="str">
        <x:v>1000SATS</x:v>
      </x:c>
      <x:c r="C145" s="42" t="str">
        <x:v>新买入</x:v>
      </x:c>
      <x:c r="D145" s="51" t="n">
        <x:v>0.0002697</x:v>
      </x:c>
      <x:c r="E145" s="51" t="n">
        <x:v>0.000295</x:v>
      </x:c>
      <x:c r="F145" s="24" t="n">
        <x:f>E145/D145-1</x:f>
        <x:v>0.09380793474230642</x:v>
      </x:c>
      <x:c r="G145" s="52" t="n">
        <x:v>45536.010416666664</x:v>
      </x:c>
      <x:c r="H145" s="42" t="str">
        <x:v>下次换仓边界（非必然全卖）</x:v>
      </x:c>
      <x:c r="I145" s="56" t="n">
        <x:v>0.1</x:v>
      </x:c>
      <x:c r="J145" s="57" t="n">
        <x:v>400625218.94314563</x:v>
      </x:c>
      <x:c r="K145" s="58" t="n">
        <x:f>J145*(E145-D145)</x:f>
        <x:v>10135.818039261592</x:v>
      </x:c>
    </x:row>
    <x:row r="146" ht="19.5" customHeight="1">
      <x:c r="A146" s="18" t="n">
        <x:v>45505</x:v>
      </x:c>
      <x:c r="B146" s="35" t="str">
        <x:v>XRP</x:v>
      </x:c>
      <x:c r="C146" s="35" t="str">
        <x:v>新买入</x:v>
      </x:c>
      <x:c r="D146" s="49" t="n">
        <x:v>0.6247</x:v>
      </x:c>
      <x:c r="E146" s="49" t="n">
        <x:v>0.566</x:v>
      </x:c>
      <x:c r="F146" s="19" t="n">
        <x:f>E146/D146-1</x:f>
        <x:v>-0.09396510324955987</x:v>
      </x:c>
      <x:c r="G146" s="50" t="n">
        <x:v>45536.010416666664</x:v>
      </x:c>
      <x:c r="H146" s="35" t="str">
        <x:v>下次换仓边界（非必然全卖）</x:v>
      </x:c>
      <x:c r="I146" s="53" t="n">
        <x:v>0.1</x:v>
      </x:c>
      <x:c r="J146" s="54" t="n">
        <x:v>172960.81566986773</x:v>
      </x:c>
      <x:c r="K146" s="55" t="n">
        <x:f>J146*(E146-D146)</x:f>
        <x:v>-10152.79987982125</x:v>
      </x:c>
    </x:row>
    <x:row r="147" ht="19.5" customHeight="1">
      <x:c r="A147" s="23" t="n">
        <x:v>45505</x:v>
      </x:c>
      <x:c r="B147" s="42" t="str">
        <x:v>DAR</x:v>
      </x:c>
      <x:c r="C147" s="42" t="str">
        <x:v>新买入</x:v>
      </x:c>
      <x:c r="D147" s="51" t="n">
        <x:v>0.1634</x:v>
      </x:c>
      <x:c r="E147" s="51" t="n">
        <x:v>0.1408</x:v>
      </x:c>
      <x:c r="F147" s="24" t="n">
        <x:f>E147/D147-1</x:f>
        <x:v>-0.13831089351285175</x:v>
      </x:c>
      <x:c r="G147" s="52" t="n">
        <x:v>45536.010416666664</x:v>
      </x:c>
      <x:c r="H147" s="42" t="str">
        <x:v>下次换仓边界（非必然全卖）</x:v>
      </x:c>
      <x:c r="I147" s="56" t="n">
        <x:v>0.1</x:v>
      </x:c>
      <x:c r="J147" s="57" t="n">
        <x:v>661252.2738614833</x:v>
      </x:c>
      <x:c r="K147" s="58" t="n">
        <x:f>J147*(E147-D147)</x:f>
        <x:v>-14944.30138926951</x:v>
      </x:c>
    </x:row>
    <x:row r="148" ht="19.5" customHeight="1">
      <x:c r="A148" s="18" t="n">
        <x:v>45536</x:v>
      </x:c>
      <x:c r="B148" s="35" t="str">
        <x:v>TRX</x:v>
      </x:c>
      <x:c r="C148" s="35" t="str">
        <x:v>新买入</x:v>
      </x:c>
      <x:c r="D148" s="49" t="n">
        <x:v>0.15764</x:v>
      </x:c>
      <x:c r="E148" s="49" t="n">
        <x:v>0.15606</x:v>
      </x:c>
      <x:c r="F148" s="19" t="n">
        <x:f>E148/D148-1</x:f>
        <x:v>-0.010022836843440741</x:v>
      </x:c>
      <x:c r="G148" s="50" t="n">
        <x:v>45566.010416666664</x:v>
      </x:c>
      <x:c r="H148" s="35" t="str">
        <x:v>下次换仓边界（非必然全卖）</x:v>
      </x:c>
      <x:c r="I148" s="53" t="n">
        <x:v>0.1</x:v>
      </x:c>
      <x:c r="J148" s="54" t="n">
        <x:v>578545.8855963673</x:v>
      </x:c>
      <x:c r="K148" s="55" t="n">
        <x:f>J148*(E148-D148)</x:f>
        <x:v>-914.1024992422592</x:v>
      </x:c>
    </x:row>
    <x:row r="149" ht="19.5" customHeight="1">
      <x:c r="A149" s="23" t="n">
        <x:v>45536</x:v>
      </x:c>
      <x:c r="B149" s="42" t="str">
        <x:v>AAVE</x:v>
      </x:c>
      <x:c r="C149" s="42" t="str">
        <x:v>新买入</x:v>
      </x:c>
      <x:c r="D149" s="51" t="n">
        <x:v>129.83</x:v>
      </x:c>
      <x:c r="E149" s="51" t="n">
        <x:v>156.1</x:v>
      </x:c>
      <x:c r="F149" s="24" t="n">
        <x:f>E149/D149-1</x:f>
        <x:v>0.20234152353077084</x:v>
      </x:c>
      <x:c r="G149" s="52" t="n">
        <x:v>45566.010416666664</x:v>
      </x:c>
      <x:c r="H149" s="42" t="str">
        <x:v>下次换仓边界（非必然全卖）</x:v>
      </x:c>
      <x:c r="I149" s="56" t="n">
        <x:v>0.1</x:v>
      </x:c>
      <x:c r="J149" s="57" t="n">
        <x:v>702.4722591497446</x:v>
      </x:c>
      <x:c r="K149" s="58" t="n">
        <x:f>J149*(E149-D149)</x:f>
        <x:v>18453.946247863776</x:v>
      </x:c>
    </x:row>
    <x:row r="150" ht="19.5" customHeight="1">
      <x:c r="A150" s="18" t="n">
        <x:v>45536</x:v>
      </x:c>
      <x:c r="B150" s="35" t="str">
        <x:v>SUI</x:v>
      </x:c>
      <x:c r="C150" s="35" t="str">
        <x:v>新买入</x:v>
      </x:c>
      <x:c r="D150" s="49" t="n">
        <x:v>0.8005</x:v>
      </x:c>
      <x:c r="E150" s="49" t="n">
        <x:v>1.7794</x:v>
      </x:c>
      <x:c r="F150" s="19" t="n">
        <x:f>E150/D150-1</x:f>
        <x:v>1.222860712054966</x:v>
      </x:c>
      <x:c r="G150" s="50" t="n">
        <x:v>45566.010416666664</x:v>
      </x:c>
      <x:c r="H150" s="35" t="str">
        <x:v>下次换仓边界（非必然全卖）</x:v>
      </x:c>
      <x:c r="I150" s="53" t="n">
        <x:v>0.1</x:v>
      </x:c>
      <x:c r="J150" s="54" t="n">
        <x:v>113931.25971943953</x:v>
      </x:c>
      <x:c r="K150" s="55" t="n">
        <x:f>J150*(E150-D150)</x:f>
        <x:v>111527.31013935937</x:v>
      </x:c>
    </x:row>
    <x:row r="151" ht="19.5" customHeight="1">
      <x:c r="A151" s="23" t="n">
        <x:v>45536</x:v>
      </x:c>
      <x:c r="B151" s="42" t="str">
        <x:v>1000SATS</x:v>
      </x:c>
      <x:c r="C151" s="42" t="str">
        <x:v>续持调仓</x:v>
      </x:c>
      <x:c r="D151" s="51" t="n">
        <x:v>0.000295</x:v>
      </x:c>
      <x:c r="E151" s="51" t="n">
        <x:v>0.0003065</x:v>
      </x:c>
      <x:c r="F151" s="24" t="n">
        <x:f>E151/D151-1</x:f>
        <x:v>0.03898305084745757</x:v>
      </x:c>
      <x:c r="G151" s="52" t="n">
        <x:v>45566.010416666664</x:v>
      </x:c>
      <x:c r="H151" s="42" t="str">
        <x:v>下次换仓边界（非必然全卖）</x:v>
      </x:c>
      <x:c r="I151" s="56" t="n">
        <x:v>0.1</x:v>
      </x:c>
      <x:c r="J151" s="57" t="n">
        <x:v>309159231.88275033</x:v>
      </x:c>
      <x:c r="K151" s="58" t="n">
        <x:f>J151*(E151-D151)</x:f>
        <x:v>3555.3311666516315</x:v>
      </x:c>
    </x:row>
    <x:row r="152" ht="19.5" customHeight="1">
      <x:c r="A152" s="18" t="n">
        <x:v>45536</x:v>
      </x:c>
      <x:c r="B152" s="35" t="str">
        <x:v>RSR</x:v>
      </x:c>
      <x:c r="C152" s="35" t="str">
        <x:v>新买入</x:v>
      </x:c>
      <x:c r="D152" s="49" t="n">
        <x:v>0.005235</x:v>
      </x:c>
      <x:c r="E152" s="49" t="n">
        <x:v>0.006761</x:v>
      </x:c>
      <x:c r="F152" s="19" t="n">
        <x:f>E152/D152-1</x:f>
        <x:v>0.29149952244508115</x:v>
      </x:c>
      <x:c r="G152" s="50" t="n">
        <x:v>45566.010416666664</x:v>
      </x:c>
      <x:c r="H152" s="35" t="str">
        <x:v>下次换仓边界（非必然全卖）</x:v>
      </x:c>
      <x:c r="I152" s="53" t="n">
        <x:v>0.1</x:v>
      </x:c>
      <x:c r="J152" s="54" t="n">
        <x:v>17421580.40217982</x:v>
      </x:c>
      <x:c r="K152" s="55" t="n">
        <x:f>J152*(E152-D152)</x:f>
        <x:v>26585.331693726395</x:v>
      </x:c>
    </x:row>
    <x:row r="153" ht="19.5" customHeight="1">
      <x:c r="A153" s="23" t="n">
        <x:v>45536</x:v>
      </x:c>
      <x:c r="B153" s="42" t="str">
        <x:v>CRV</x:v>
      </x:c>
      <x:c r="C153" s="42" t="str">
        <x:v>新买入</x:v>
      </x:c>
      <x:c r="D153" s="51" t="n">
        <x:v>0.283</x:v>
      </x:c>
      <x:c r="E153" s="51" t="n">
        <x:v>0.277</x:v>
      </x:c>
      <x:c r="F153" s="24" t="n">
        <x:f>E153/D153-1</x:f>
        <x:v>-0.021201413427561655</x:v>
      </x:c>
      <x:c r="G153" s="52" t="n">
        <x:v>45566.010416666664</x:v>
      </x:c>
      <x:c r="H153" s="42" t="str">
        <x:v>下次换仓边界（非必然全卖）</x:v>
      </x:c>
      <x:c r="I153" s="56" t="n">
        <x:v>0.1</x:v>
      </x:c>
      <x:c r="J153" s="57" t="n">
        <x:v>322268.4572629377</x:v>
      </x:c>
      <x:c r="K153" s="58" t="n">
        <x:f>J153*(E153-D153)</x:f>
        <x:v>-1933.6107435776098</x:v>
      </x:c>
    </x:row>
    <x:row r="154" ht="19.5" customHeight="1">
      <x:c r="A154" s="18" t="n">
        <x:v>45536</x:v>
      </x:c>
      <x:c r="B154" s="35" t="str">
        <x:v>SUPER</x:v>
      </x:c>
      <x:c r="C154" s="35" t="str">
        <x:v>新买入</x:v>
      </x:c>
      <x:c r="D154" s="49" t="n">
        <x:v>0.6858</x:v>
      </x:c>
      <x:c r="E154" s="49" t="n">
        <x:v>1.0449</x:v>
      </x:c>
      <x:c r="F154" s="19" t="n">
        <x:f>E154/D154-1</x:f>
        <x:v>0.5236220472440944</x:v>
      </x:c>
      <x:c r="G154" s="50" t="n">
        <x:v>45566.010416666664</x:v>
      </x:c>
      <x:c r="H154" s="35" t="str">
        <x:v>下次换仓边界（非必然全卖）</x:v>
      </x:c>
      <x:c r="I154" s="53" t="n">
        <x:v>0.1</x:v>
      </x:c>
      <x:c r="J154" s="54" t="n">
        <x:v>132986.25460106644</x:v>
      </x:c>
      <x:c r="K154" s="55" t="n">
        <x:f>J154*(E154-D154)</x:f>
        <x:v>47755.364027242955</x:v>
      </x:c>
    </x:row>
    <x:row r="155" ht="19.5" customHeight="1">
      <x:c r="A155" s="23" t="n">
        <x:v>45536</x:v>
      </x:c>
      <x:c r="B155" s="42" t="str">
        <x:v>NMR</x:v>
      </x:c>
      <x:c r="C155" s="42" t="str">
        <x:v>新买入</x:v>
      </x:c>
      <x:c r="D155" s="51" t="n">
        <x:v>14.696</x:v>
      </x:c>
      <x:c r="E155" s="51" t="n">
        <x:v>15.808</x:v>
      </x:c>
      <x:c r="F155" s="24" t="n">
        <x:f>E155/D155-1</x:f>
        <x:v>0.07566684812193802</x:v>
      </x:c>
      <x:c r="G155" s="52" t="n">
        <x:v>45566.010416666664</x:v>
      </x:c>
      <x:c r="H155" s="42" t="str">
        <x:v>下次换仓边界（非必然全卖）</x:v>
      </x:c>
      <x:c r="I155" s="56" t="n">
        <x:v>0.1</x:v>
      </x:c>
      <x:c r="J155" s="57" t="n">
        <x:v>6205.9045594319105</x:v>
      </x:c>
      <x:c r="K155" s="58" t="n">
        <x:f>J155*(E155-D155)</x:f>
        <x:v>6900.965870088285</x:v>
      </x:c>
    </x:row>
    <x:row r="156" ht="19.5" customHeight="1">
      <x:c r="A156" s="18" t="n">
        <x:v>45536</x:v>
      </x:c>
      <x:c r="B156" s="35" t="str">
        <x:v>XMR</x:v>
      </x:c>
      <x:c r="C156" s="35" t="str">
        <x:v>新买入</x:v>
      </x:c>
      <x:c r="D156" s="49" t="n">
        <x:v>168.9</x:v>
      </x:c>
      <x:c r="E156" s="49" t="n">
        <x:v>154.25</x:v>
      </x:c>
      <x:c r="F156" s="19" t="n">
        <x:f>E156/D156-1</x:f>
        <x:v>-0.0867377146240379</x:v>
      </x:c>
      <x:c r="G156" s="50" t="n">
        <x:v>45566.010416666664</x:v>
      </x:c>
      <x:c r="H156" s="35" t="str">
        <x:v>下次换仓边界（非必然全卖）</x:v>
      </x:c>
      <x:c r="I156" s="53" t="n">
        <x:v>0.1</x:v>
      </x:c>
      <x:c r="J156" s="54" t="n">
        <x:v>539.9761598899429</x:v>
      </x:c>
      <x:c r="K156" s="55" t="n">
        <x:f>J156*(E156-D156)</x:f>
        <x:v>-7910.6507423876665</x:v>
      </x:c>
    </x:row>
    <x:row r="157" ht="19.5" customHeight="1">
      <x:c r="A157" s="23" t="n">
        <x:v>45536</x:v>
      </x:c>
      <x:c r="B157" s="42" t="str">
        <x:v>BOND</x:v>
      </x:c>
      <x:c r="C157" s="42" t="str">
        <x:v>新买入</x:v>
      </x:c>
      <x:c r="D157" s="51" t="n">
        <x:v>2.117</x:v>
      </x:c>
      <x:c r="E157" s="51" t="n">
        <x:v>1.509</x:v>
      </x:c>
      <x:c r="F157" s="24" t="n">
        <x:f>E157/D157-1</x:f>
        <x:v>-0.2871988663202646</x:v>
      </x:c>
      <x:c r="G157" s="52" t="n">
        <x:v>45566.010416666664</x:v>
      </x:c>
      <x:c r="H157" s="42" t="str">
        <x:v>下次换仓边界（非必然全卖）</x:v>
      </x:c>
      <x:c r="I157" s="56" t="n">
        <x:v>0.1</x:v>
      </x:c>
      <x:c r="J157" s="57" t="n">
        <x:v>43080.76211875831</x:v>
      </x:c>
      <x:c r="K157" s="58" t="n">
        <x:f>J157*(E157-D157)</x:f>
        <x:v>-26193.10336820506</x:v>
      </x:c>
    </x:row>
    <x:row r="158" ht="19.5" customHeight="1">
      <x:c r="A158" s="18" t="n">
        <x:v>45566</x:v>
      </x:c>
      <x:c r="B158" s="35" t="str">
        <x:v>REEF</x:v>
      </x:c>
      <x:c r="C158" s="35" t="str">
        <x:v>新买入</x:v>
      </x:c>
      <x:c r="D158" s="49" t="n">
        <x:v>0.005174</x:v>
      </x:c>
      <x:c r="E158" s="49" t="n">
        <x:v>0.001565</x:v>
      </x:c>
      <x:c r="F158" s="19" t="n">
        <x:f>E158/D158-1</x:f>
        <x:v>-0.6975260919984538</x:v>
      </x:c>
      <x:c r="G158" s="50" t="n">
        <x:v>45597.010416666664</x:v>
      </x:c>
      <x:c r="H158" s="35" t="str">
        <x:v>下次换仓边界（非必然全卖）</x:v>
      </x:c>
      <x:c r="I158" s="53" t="n">
        <x:v>0.1</x:v>
      </x:c>
      <x:c r="J158" s="54" t="n">
        <x:v>21010884.71525439</x:v>
      </x:c>
      <x:c r="K158" s="55" t="n">
        <x:f>J158*(E158-D158)</x:f>
        <x:v>-75828.28293735308</x:v>
      </x:c>
    </x:row>
    <x:row r="159" ht="19.5" customHeight="1">
      <x:c r="A159" s="23" t="n">
        <x:v>45566</x:v>
      </x:c>
      <x:c r="B159" s="42" t="str">
        <x:v>SUI</x:v>
      </x:c>
      <x:c r="C159" s="42" t="str">
        <x:v>续持调仓</x:v>
      </x:c>
      <x:c r="D159" s="51" t="n">
        <x:v>1.7794</x:v>
      </x:c>
      <x:c r="E159" s="51" t="n">
        <x:v>1.9944</x:v>
      </x:c>
      <x:c r="F159" s="24" t="n">
        <x:f>E159/D159-1</x:f>
        <x:v>0.12082724513881082</x:v>
      </x:c>
      <x:c r="G159" s="52" t="n">
        <x:v>45597.010416666664</x:v>
      </x:c>
      <x:c r="H159" s="42" t="str">
        <x:v>下次换仓边界（非必然全卖）</x:v>
      </x:c>
      <x:c r="I159" s="56" t="n">
        <x:v>0.1</x:v>
      </x:c>
      <x:c r="J159" s="57" t="n">
        <x:v>61093.8055056346</x:v>
      </x:c>
      <x:c r="K159" s="58" t="n">
        <x:f>J159*(E159-D159)</x:f>
        <x:v>13135.16818371143</x:v>
      </x:c>
    </x:row>
    <x:row r="160" ht="19.5" customHeight="1">
      <x:c r="A160" s="18" t="n">
        <x:v>45566</x:v>
      </x:c>
      <x:c r="B160" s="35" t="str">
        <x:v>SAGA</x:v>
      </x:c>
      <x:c r="C160" s="35" t="str">
        <x:v>新买入</x:v>
      </x:c>
      <x:c r="D160" s="49" t="n">
        <x:v>2.7133</x:v>
      </x:c>
      <x:c r="E160" s="49" t="n">
        <x:v>1.9133</x:v>
      </x:c>
      <x:c r="F160" s="19" t="n">
        <x:f>E160/D160-1</x:f>
        <x:v>-0.2948439170014373</x:v>
      </x:c>
      <x:c r="G160" s="50" t="n">
        <x:v>45597.010416666664</x:v>
      </x:c>
      <x:c r="H160" s="35" t="str">
        <x:v>下次换仓边界（非必然全卖）</x:v>
      </x:c>
      <x:c r="I160" s="53" t="n">
        <x:v>0.1</x:v>
      </x:c>
      <x:c r="J160" s="54" t="n">
        <x:v>40065.71979387691</x:v>
      </x:c>
      <x:c r="K160" s="55" t="n">
        <x:f>J160*(E160-D160)</x:f>
        <x:v>-32052.57583510152</x:v>
      </x:c>
    </x:row>
    <x:row r="161" ht="19.5" customHeight="1">
      <x:c r="A161" s="23" t="n">
        <x:v>45566</x:v>
      </x:c>
      <x:c r="B161" s="42" t="str">
        <x:v>ETHW</x:v>
      </x:c>
      <x:c r="C161" s="42" t="str">
        <x:v>新买入</x:v>
      </x:c>
      <x:c r="D161" s="51" t="n">
        <x:v>3.6782</x:v>
      </x:c>
      <x:c r="E161" s="51" t="n">
        <x:v>3.1339</x:v>
      </x:c>
      <x:c r="F161" s="24" t="n">
        <x:f>E161/D161-1</x:f>
        <x:v>-0.14797999021260388</x:v>
      </x:c>
      <x:c r="G161" s="52" t="n">
        <x:v>45597.010416666664</x:v>
      </x:c>
      <x:c r="H161" s="42" t="str">
        <x:v>下次换仓边界（非必然全卖）</x:v>
      </x:c>
      <x:c r="I161" s="56" t="n">
        <x:v>0.1</x:v>
      </x:c>
      <x:c r="J161" s="57" t="n">
        <x:v>29555.303549759723</x:v>
      </x:c>
      <x:c r="K161" s="58" t="n">
        <x:f>J161*(E161-D161)</x:f>
        <x:v>-16086.95172213421</x:v>
      </x:c>
    </x:row>
    <x:row r="162" ht="19.5" customHeight="1">
      <x:c r="A162" s="18" t="n">
        <x:v>45566</x:v>
      </x:c>
      <x:c r="B162" s="35" t="str">
        <x:v>CKB</x:v>
      </x:c>
      <x:c r="C162" s="35" t="str">
        <x:v>新买入</x:v>
      </x:c>
      <x:c r="D162" s="49" t="n">
        <x:v>0.016808</x:v>
      </x:c>
      <x:c r="E162" s="49" t="n">
        <x:v>0.012572</x:v>
      </x:c>
      <x:c r="F162" s="19" t="n">
        <x:f>E162/D162-1</x:f>
        <x:v>-0.252022846263684</x:v>
      </x:c>
      <x:c r="G162" s="50" t="n">
        <x:v>45597.010416666664</x:v>
      </x:c>
      <x:c r="H162" s="35" t="str">
        <x:v>下次换仓边界（非必然全卖）</x:v>
      </x:c>
      <x:c r="I162" s="53" t="n">
        <x:v>0.1</x:v>
      </x:c>
      <x:c r="J162" s="54" t="n">
        <x:v>6467772.341547252</x:v>
      </x:c>
      <x:c r="K162" s="55" t="n">
        <x:f>J162*(E162-D162)</x:f>
        <x:v>-27397.483638794158</x:v>
      </x:c>
    </x:row>
    <x:row r="163" ht="19.5" customHeight="1">
      <x:c r="A163" s="23" t="n">
        <x:v>45566</x:v>
      </x:c>
      <x:c r="B163" s="42" t="str">
        <x:v>TAO</x:v>
      </x:c>
      <x:c r="C163" s="42" t="str">
        <x:v>新买入</x:v>
      </x:c>
      <x:c r="D163" s="51" t="n">
        <x:v>577.98</x:v>
      </x:c>
      <x:c r="E163" s="51" t="n">
        <x:v>488.53</x:v>
      </x:c>
      <x:c r="F163" s="24" t="n">
        <x:f>E163/D163-1</x:f>
        <x:v>-0.15476314059310015</x:v>
      </x:c>
      <x:c r="G163" s="52" t="n">
        <x:v>45597.010416666664</x:v>
      </x:c>
      <x:c r="H163" s="42" t="str">
        <x:v>下次换仓边界（非必然全卖）</x:v>
      </x:c>
      <x:c r="I163" s="56" t="n">
        <x:v>0.1</x:v>
      </x:c>
      <x:c r="J163" s="57" t="n">
        <x:v>188.08664230029794</x:v>
      </x:c>
      <x:c r="K163" s="58" t="n">
        <x:f>J163*(E163-D163)</x:f>
        <x:v>-16824.350153761658</x:v>
      </x:c>
    </x:row>
    <x:row r="164" ht="19.5" customHeight="1">
      <x:c r="A164" s="18" t="n">
        <x:v>45566</x:v>
      </x:c>
      <x:c r="B164" s="35" t="str">
        <x:v>BIGTIME</x:v>
      </x:c>
      <x:c r="C164" s="35" t="str">
        <x:v>新买入</x:v>
      </x:c>
      <x:c r="D164" s="49" t="n">
        <x:v>0.13022</x:v>
      </x:c>
      <x:c r="E164" s="49" t="n">
        <x:v>0.17229</x:v>
      </x:c>
      <x:c r="F164" s="19" t="n">
        <x:f>E164/D164-1</x:f>
        <x:v>0.3230686530486868</x:v>
      </x:c>
      <x:c r="G164" s="50" t="n">
        <x:v>45597.010416666664</x:v>
      </x:c>
      <x:c r="H164" s="35" t="str">
        <x:v>下次换仓边界（非必然全卖）</x:v>
      </x:c>
      <x:c r="I164" s="53" t="n">
        <x:v>0.1</x:v>
      </x:c>
      <x:c r="J164" s="54" t="n">
        <x:v>834820.4386171572</x:v>
      </x:c>
      <x:c r="K164" s="55" t="n">
        <x:f>J164*(E164-D164)</x:f>
        <x:v>35120.8958526238</x:v>
      </x:c>
    </x:row>
    <x:row r="165" ht="19.5" customHeight="1">
      <x:c r="A165" s="23" t="n">
        <x:v>45566</x:v>
      </x:c>
      <x:c r="B165" s="42" t="str">
        <x:v>ALT</x:v>
      </x:c>
      <x:c r="C165" s="42" t="str">
        <x:v>新买入</x:v>
      </x:c>
      <x:c r="D165" s="51" t="n">
        <x:v>0.13324</x:v>
      </x:c>
      <x:c r="E165" s="51" t="n">
        <x:v>0.0953</x:v>
      </x:c>
      <x:c r="F165" s="24" t="n">
        <x:f>E165/D165-1</x:f>
        <x:v>-0.28474932452716906</x:v>
      </x:c>
      <x:c r="G165" s="52" t="n">
        <x:v>45597.010416666664</x:v>
      </x:c>
      <x:c r="H165" s="42" t="str">
        <x:v>下次换仓边界（非必然全卖）</x:v>
      </x:c>
      <x:c r="I165" s="56" t="n">
        <x:v>0.1</x:v>
      </x:c>
      <x:c r="J165" s="57" t="n">
        <x:v>815898.5103326795</x:v>
      </x:c>
      <x:c r="K165" s="58" t="n">
        <x:f>J165*(E165-D165)</x:f>
        <x:v>-30955.189482021862</x:v>
      </x:c>
    </x:row>
    <x:row r="166" ht="19.5" customHeight="1">
      <x:c r="A166" s="18" t="n">
        <x:v>45566</x:v>
      </x:c>
      <x:c r="B166" s="35" t="str">
        <x:v>POPCAT</x:v>
      </x:c>
      <x:c r="C166" s="35" t="str">
        <x:v>新买入</x:v>
      </x:c>
      <x:c r="D166" s="49" t="n">
        <x:v>0.9629</x:v>
      </x:c>
      <x:c r="E166" s="49" t="n">
        <x:v>1.5659</x:v>
      </x:c>
      <x:c r="F166" s="19" t="n">
        <x:f>E166/D166-1</x:f>
        <x:v>0.6262332537127429</x:v>
      </x:c>
      <x:c r="G166" s="50" t="n">
        <x:v>45597.010416666664</x:v>
      </x:c>
      <x:c r="H166" s="35" t="str">
        <x:v>下次换仓边界（非必然全卖）</x:v>
      </x:c>
      <x:c r="I166" s="53" t="n">
        <x:v>0.1</x:v>
      </x:c>
      <x:c r="J166" s="54" t="n">
        <x:v>112898.86542395494</x:v>
      </x:c>
      <x:c r="K166" s="55" t="n">
        <x:f>J166*(E166-D166)</x:f>
        <x:v>68078.01585064484</x:v>
      </x:c>
    </x:row>
    <x:row r="167" ht="19.5" customHeight="1">
      <x:c r="A167" s="23" t="n">
        <x:v>45566</x:v>
      </x:c>
      <x:c r="B167" s="42" t="str">
        <x:v>TURBO</x:v>
      </x:c>
      <x:c r="C167" s="42" t="str">
        <x:v>新买入</x:v>
      </x:c>
      <x:c r="D167" s="51" t="n">
        <x:v>0.0058692</x:v>
      </x:c>
      <x:c r="E167" s="51" t="n">
        <x:v>0.0086985</x:v>
      </x:c>
      <x:c r="F167" s="24" t="n">
        <x:f>E167/D167-1</x:f>
        <x:v>0.4820588836638724</x:v>
      </x:c>
      <x:c r="G167" s="52" t="n">
        <x:v>45597.010416666664</x:v>
      </x:c>
      <x:c r="H167" s="42" t="str">
        <x:v>下次换仓边界（非必然全卖）</x:v>
      </x:c>
      <x:c r="I167" s="56" t="n">
        <x:v>0.1</x:v>
      </x:c>
      <x:c r="J167" s="57" t="n">
        <x:v>18522169.54895492</x:v>
      </x:c>
      <x:c r="K167" s="58" t="n">
        <x:f>J167*(E167-D167)</x:f>
        <x:v>52404.77430485815</x:v>
      </x:c>
    </x:row>
    <x:row r="168" ht="19.5" customHeight="1">
      <x:c r="A168" s="18" t="n">
        <x:v>45597</x:v>
      </x:c>
      <x:c r="B168" s="35" t="str">
        <x:v>POPCAT</x:v>
      </x:c>
      <x:c r="C168" s="35" t="str">
        <x:v>续持调仓</x:v>
      </x:c>
      <x:c r="D168" s="49" t="n">
        <x:v>1.5659</x:v>
      </x:c>
      <x:c r="E168" s="49" t="n">
        <x:v>1.3465</x:v>
      </x:c>
      <x:c r="F168" s="19" t="n">
        <x:f>E168/D168-1</x:f>
        <x:v>-0.14011111820678201</x:v>
      </x:c>
      <x:c r="G168" s="50" t="n">
        <x:v>45627.010416666664</x:v>
      </x:c>
      <x:c r="H168" s="35" t="str">
        <x:v>下次换仓边界（非必然全卖）</x:v>
      </x:c>
      <x:c r="I168" s="53" t="n">
        <x:v>0.1</x:v>
      </x:c>
      <x:c r="J168" s="54" t="n">
        <x:v>67349.58990154402</x:v>
      </x:c>
      <x:c r="K168" s="55" t="n">
        <x:f>J168*(E168-D168)</x:f>
        <x:v>-14776.500024398762</x:v>
      </x:c>
    </x:row>
    <x:row r="169" ht="19.5" customHeight="1">
      <x:c r="A169" s="23" t="n">
        <x:v>45597</x:v>
      </x:c>
      <x:c r="B169" s="42" t="str">
        <x:v>MEW</x:v>
      </x:c>
      <x:c r="C169" s="42" t="str">
        <x:v>新买入</x:v>
      </x:c>
      <x:c r="D169" s="51" t="n">
        <x:v>0.009091</x:v>
      </x:c>
      <x:c r="E169" s="51" t="n">
        <x:v>0.009511</x:v>
      </x:c>
      <x:c r="F169" s="24" t="n">
        <x:f>E169/D169-1</x:f>
        <x:v>0.04619953800462007</x:v>
      </x:c>
      <x:c r="G169" s="52" t="n">
        <x:v>45627.010416666664</x:v>
      </x:c>
      <x:c r="H169" s="42" t="str">
        <x:v>下次换仓边界（非必然全卖）</x:v>
      </x:c>
      <x:c r="I169" s="56" t="n">
        <x:v>0.1</x:v>
      </x:c>
      <x:c r="J169" s="57" t="n">
        <x:v>11600783.503116025</x:v>
      </x:c>
      <x:c r="K169" s="58" t="n">
        <x:f>J169*(E169-D169)</x:f>
        <x:v>4872.329071308733</x:v>
      </x:c>
    </x:row>
    <x:row r="170" ht="19.5" customHeight="1">
      <x:c r="A170" s="18" t="n">
        <x:v>45597</x:v>
      </x:c>
      <x:c r="B170" s="35" t="str">
        <x:v>TURBO</x:v>
      </x:c>
      <x:c r="C170" s="35" t="str">
        <x:v>续持调仓</x:v>
      </x:c>
      <x:c r="D170" s="49" t="n">
        <x:v>0.0086985</x:v>
      </x:c>
      <x:c r="E170" s="49" t="n">
        <x:v>0.0081876</x:v>
      </x:c>
      <x:c r="F170" s="19" t="n">
        <x:f>E170/D170-1</x:f>
        <x:v>-0.05873426452836694</x:v>
      </x:c>
      <x:c r="G170" s="50" t="n">
        <x:v>45627.010416666664</x:v>
      </x:c>
      <x:c r="H170" s="35" t="str">
        <x:v>下次换仓边界（非必然全卖）</x:v>
      </x:c>
      <x:c r="I170" s="53" t="n">
        <x:v>0.1</x:v>
      </x:c>
      <x:c r="J170" s="54" t="n">
        <x:v>12124242.435687508</x:v>
      </x:c>
      <x:c r="K170" s="55" t="n">
        <x:f>J170*(E170-D170)</x:f>
        <x:v>-6194.275460392747</x:v>
      </x:c>
    </x:row>
    <x:row r="171" ht="19.5" customHeight="1">
      <x:c r="A171" s="23" t="n">
        <x:v>45597</x:v>
      </x:c>
      <x:c r="B171" s="42" t="str">
        <x:v>DOGE</x:v>
      </x:c>
      <x:c r="C171" s="42" t="str">
        <x:v>新买入</x:v>
      </x:c>
      <x:c r="D171" s="51" t="n">
        <x:v>0.1622</x:v>
      </x:c>
      <x:c r="E171" s="51" t="n">
        <x:v>0.42352</x:v>
      </x:c>
      <x:c r="F171" s="24" t="n">
        <x:f>E171/D171-1</x:f>
        <x:v>1.6110974106041924</x:v>
      </x:c>
      <x:c r="G171" s="52" t="n">
        <x:v>45627.010416666664</x:v>
      </x:c>
      <x:c r="H171" s="42" t="str">
        <x:v>下次换仓边界（非必然全卖）</x:v>
      </x:c>
      <x:c r="I171" s="56" t="n">
        <x:v>0.1</x:v>
      </x:c>
      <x:c r="J171" s="57" t="n">
        <x:v>650201.7436919098</x:v>
      </x:c>
      <x:c r="K171" s="58" t="n">
        <x:f>J171*(E171-D171)</x:f>
        <x:v>169910.71966156986</x:v>
      </x:c>
    </x:row>
    <x:row r="172" ht="19.5" customHeight="1">
      <x:c r="A172" s="18" t="n">
        <x:v>45597</x:v>
      </x:c>
      <x:c r="B172" s="35" t="str">
        <x:v>NEIRO</x:v>
      </x:c>
      <x:c r="C172" s="35" t="str">
        <x:v>新买入</x:v>
      </x:c>
      <x:c r="D172" s="49" t="n">
        <x:v>0.001617</x:v>
      </x:c>
      <x:c r="E172" s="49" t="n">
        <x:v>0.0019039</x:v>
      </x:c>
      <x:c r="F172" s="19" t="n">
        <x:f>E172/D172-1</x:f>
        <x:v>0.17742733457019177</x:v>
      </x:c>
      <x:c r="G172" s="50" t="n">
        <x:v>45627.010416666664</x:v>
      </x:c>
      <x:c r="H172" s="35" t="str">
        <x:v>下次换仓边界（非必然全卖）</x:v>
      </x:c>
      <x:c r="I172" s="53" t="n">
        <x:v>0.1</x:v>
      </x:c>
      <x:c r="J172" s="54" t="n">
        <x:v>65221226.23798873</x:v>
      </x:c>
      <x:c r="K172" s="55" t="n">
        <x:f>J172*(E172-D172)</x:f>
        <x:v>18711.969807678972</x:v>
      </x:c>
    </x:row>
    <x:row r="173" ht="19.5" customHeight="1">
      <x:c r="A173" s="23" t="n">
        <x:v>45597</x:v>
      </x:c>
      <x:c r="B173" s="42" t="str">
        <x:v>ZEC</x:v>
      </x:c>
      <x:c r="C173" s="42" t="str">
        <x:v>新买入</x:v>
      </x:c>
      <x:c r="D173" s="51" t="n">
        <x:v>36.83</x:v>
      </x:c>
      <x:c r="E173" s="51" t="n">
        <x:v>59.47</x:v>
      </x:c>
      <x:c r="F173" s="24" t="n">
        <x:f>E173/D173-1</x:f>
        <x:v>0.6147162639152866</x:v>
      </x:c>
      <x:c r="G173" s="52" t="n">
        <x:v>45627.010416666664</x:v>
      </x:c>
      <x:c r="H173" s="42" t="str">
        <x:v>下次换仓边界（非必然全卖）</x:v>
      </x:c>
      <x:c r="I173" s="56" t="n">
        <x:v>0.1</x:v>
      </x:c>
      <x:c r="J173" s="57" t="n">
        <x:v>2863.5004840300785</x:v>
      </x:c>
      <x:c r="K173" s="58" t="n">
        <x:f>J173*(E173-D173)</x:f>
        <x:v>64829.65095844098</x:v>
      </x:c>
    </x:row>
    <x:row r="174" ht="19.5" customHeight="1">
      <x:c r="A174" s="18" t="n">
        <x:v>45597</x:v>
      </x:c>
      <x:c r="B174" s="35" t="str">
        <x:v>APE</x:v>
      </x:c>
      <x:c r="C174" s="35" t="str">
        <x:v>新买入</x:v>
      </x:c>
      <x:c r="D174" s="49" t="n">
        <x:v>1.0048</x:v>
      </x:c>
      <x:c r="E174" s="49" t="n">
        <x:v>1.4914</x:v>
      </x:c>
      <x:c r="F174" s="19" t="n">
        <x:f>E174/D174-1</x:f>
        <x:v>0.48427547770700663</x:v>
      </x:c>
      <x:c r="G174" s="50" t="n">
        <x:v>45627.010416666664</x:v>
      </x:c>
      <x:c r="H174" s="35" t="str">
        <x:v>下次换仓边界（非必然全卖）</x:v>
      </x:c>
      <x:c r="I174" s="53" t="n">
        <x:v>0.1</x:v>
      </x:c>
      <x:c r="J174" s="54" t="n">
        <x:v>104958.92001077607</x:v>
      </x:c>
      <x:c r="K174" s="55" t="n">
        <x:f>J174*(E174-D174)</x:f>
        <x:v>51073.01047724365</x:v>
      </x:c>
    </x:row>
    <x:row r="175" ht="19.5" customHeight="1">
      <x:c r="A175" s="23" t="n">
        <x:v>45597</x:v>
      </x:c>
      <x:c r="B175" s="42" t="str">
        <x:v>BIGTIME</x:v>
      </x:c>
      <x:c r="C175" s="42" t="str">
        <x:v>续持调仓</x:v>
      </x:c>
      <x:c r="D175" s="51" t="n">
        <x:v>0.17229</x:v>
      </x:c>
      <x:c r="E175" s="51" t="n">
        <x:v>0.16921</x:v>
      </x:c>
      <x:c r="F175" s="24" t="n">
        <x:f>E175/D175-1</x:f>
        <x:v>-0.017876835567937732</x:v>
      </x:c>
      <x:c r="G175" s="52" t="n">
        <x:v>45627.010416666664</x:v>
      </x:c>
      <x:c r="H175" s="42" t="str">
        <x:v>下次换仓边界（非必然全卖）</x:v>
      </x:c>
      <x:c r="I175" s="56" t="n">
        <x:v>0.1</x:v>
      </x:c>
      <x:c r="J175" s="57" t="n">
        <x:v>612123.2969227917</x:v>
      </x:c>
      <x:c r="K175" s="58" t="n">
        <x:f>J175*(E175-D175)</x:f>
        <x:v>-1885.3397545221983</x:v>
      </x:c>
    </x:row>
    <x:row r="176" ht="19.5" customHeight="1">
      <x:c r="A176" s="18" t="n">
        <x:v>45597</x:v>
      </x:c>
      <x:c r="B176" s="35" t="str">
        <x:v>MASK</x:v>
      </x:c>
      <x:c r="C176" s="35" t="str">
        <x:v>新买入</x:v>
      </x:c>
      <x:c r="D176" s="49" t="n">
        <x:v>2.9644</x:v>
      </x:c>
      <x:c r="E176" s="49" t="n">
        <x:v>3.7568</x:v>
      </x:c>
      <x:c r="F176" s="19" t="n">
        <x:f>E176/D176-1</x:f>
        <x:v>0.2673053569019026</x:v>
      </x:c>
      <x:c r="G176" s="50" t="n">
        <x:v>45627.010416666664</x:v>
      </x:c>
      <x:c r="H176" s="35" t="str">
        <x:v>下次换仓边界（非必然全卖）</x:v>
      </x:c>
      <x:c r="I176" s="53" t="n">
        <x:v>0.1</x:v>
      </x:c>
      <x:c r="J176" s="54" t="n">
        <x:v>35576.414393073734</x:v>
      </x:c>
      <x:c r="K176" s="55" t="n">
        <x:f>J176*(E176-D176)</x:f>
        <x:v>28190.750765071632</x:v>
      </x:c>
    </x:row>
    <x:row r="177" ht="19.5" customHeight="1">
      <x:c r="A177" s="23" t="n">
        <x:v>45597</x:v>
      </x:c>
      <x:c r="B177" s="42" t="str">
        <x:v>SUPER</x:v>
      </x:c>
      <x:c r="C177" s="42" t="str">
        <x:v>新买入</x:v>
      </x:c>
      <x:c r="D177" s="51" t="n">
        <x:v>1.2768</x:v>
      </x:c>
      <x:c r="E177" s="51" t="n">
        <x:v>1.4439</x:v>
      </x:c>
      <x:c r="F177" s="24" t="n">
        <x:f>E177/D177-1</x:f>
        <x:v>0.13087406015037595</x:v>
      </x:c>
      <x:c r="G177" s="52" t="n">
        <x:v>45627.010416666664</x:v>
      </x:c>
      <x:c r="H177" s="42" t="str">
        <x:v>下次换仓边界（非必然全卖）</x:v>
      </x:c>
      <x:c r="I177" s="56" t="n">
        <x:v>0.1</x:v>
      </x:c>
      <x:c r="J177" s="57" t="n">
        <x:v>82599.25033429495</x:v>
      </x:c>
      <x:c r="K177" s="58" t="n">
        <x:f>J177*(E177-D177)</x:f>
        <x:v>13802.334730860688</x:v>
      </x:c>
    </x:row>
    <x:row r="178" ht="19.5" customHeight="1">
      <x:c r="A178" s="18" t="n">
        <x:v>45627</x:v>
      </x:c>
      <x:c r="B178" s="35" t="str">
        <x:v>XLM</x:v>
      </x:c>
      <x:c r="C178" s="35" t="str">
        <x:v>新买入</x:v>
      </x:c>
      <x:c r="D178" s="49" t="n">
        <x:v>0.5271</x:v>
      </x:c>
      <x:c r="E178" s="49" t="n">
        <x:v>0.33766</x:v>
      </x:c>
      <x:c r="F178" s="19" t="n">
        <x:f>E178/D178-1</x:f>
        <x:v>-0.3594004932650351</x:v>
      </x:c>
      <x:c r="G178" s="50" t="n">
        <x:v>45658.010416666664</x:v>
      </x:c>
      <x:c r="H178" s="35" t="str">
        <x:v>下次换仓边界（非必然全卖）</x:v>
      </x:c>
      <x:c r="I178" s="53" t="n">
        <x:v>0.1</x:v>
      </x:c>
      <x:c r="J178" s="54" t="n">
        <x:v>261749.23354885165</x:v>
      </x:c>
      <x:c r="K178" s="55" t="n">
        <x:f>J178*(E178-D178)</x:f>
        <x:v>-49585.77480349446</x:v>
      </x:c>
    </x:row>
    <x:row r="179" ht="19.5" customHeight="1">
      <x:c r="A179" s="23" t="n">
        <x:v>45627</x:v>
      </x:c>
      <x:c r="B179" s="42" t="str">
        <x:v>ALGO</x:v>
      </x:c>
      <x:c r="C179" s="42" t="str">
        <x:v>新买入</x:v>
      </x:c>
      <x:c r="D179" s="51" t="n">
        <x:v>0.442</x:v>
      </x:c>
      <x:c r="E179" s="51" t="n">
        <x:v>0.339</x:v>
      </x:c>
      <x:c r="F179" s="24" t="n">
        <x:f>E179/D179-1</x:f>
        <x:v>-0.23303167420814475</x:v>
      </x:c>
      <x:c r="G179" s="52" t="n">
        <x:v>45658.010416666664</x:v>
      </x:c>
      <x:c r="H179" s="42" t="str">
        <x:v>下次换仓边界（非必然全卖）</x:v>
      </x:c>
      <x:c r="I179" s="56" t="n">
        <x:v>0.1</x:v>
      </x:c>
      <x:c r="J179" s="57" t="n">
        <x:v>312144.8438995469</x:v>
      </x:c>
      <x:c r="K179" s="58" t="n">
        <x:f>J179*(E179-D179)</x:f>
        <x:v>-32150.918921653323</x:v>
      </x:c>
    </x:row>
    <x:row r="180" ht="19.5" customHeight="1">
      <x:c r="A180" s="18" t="n">
        <x:v>45627</x:v>
      </x:c>
      <x:c r="B180" s="35" t="str">
        <x:v>XRP</x:v>
      </x:c>
      <x:c r="C180" s="35" t="str">
        <x:v>新买入</x:v>
      </x:c>
      <x:c r="D180" s="49" t="n">
        <x:v>1.9297</x:v>
      </x:c>
      <x:c r="E180" s="49" t="n">
        <x:v>2.0963</x:v>
      </x:c>
      <x:c r="F180" s="19" t="n">
        <x:f>E180/D180-1</x:f>
        <x:v>0.08633466341918417</x:v>
      </x:c>
      <x:c r="G180" s="50" t="n">
        <x:v>45658.010416666664</x:v>
      </x:c>
      <x:c r="H180" s="35" t="str">
        <x:v>下次换仓边界（非必然全卖）</x:v>
      </x:c>
      <x:c r="I180" s="53" t="n">
        <x:v>0.1</x:v>
      </x:c>
      <x:c r="J180" s="54" t="n">
        <x:v>71497.13478965628</x:v>
      </x:c>
      <x:c r="K180" s="55" t="n">
        <x:f>J180*(E180-D180)</x:f>
        <x:v>11911.422655956727</x:v>
      </x:c>
    </x:row>
    <x:row r="181" ht="19.5" customHeight="1">
      <x:c r="A181" s="23" t="n">
        <x:v>45627</x:v>
      </x:c>
      <x:c r="B181" s="42" t="str">
        <x:v>HBAR</x:v>
      </x:c>
      <x:c r="C181" s="42" t="str">
        <x:v>新买入</x:v>
      </x:c>
      <x:c r="D181" s="51" t="n">
        <x:v>0.16805</x:v>
      </x:c>
      <x:c r="E181" s="51" t="n">
        <x:v>0.26859</x:v>
      </x:c>
      <x:c r="F181" s="24" t="n">
        <x:f>E181/D181-1</x:f>
        <x:v>0.5982743231181196</x:v>
      </x:c>
      <x:c r="G181" s="52" t="n">
        <x:v>45658.010416666664</x:v>
      </x:c>
      <x:c r="H181" s="42" t="str">
        <x:v>下次换仓边界（非必然全卖）</x:v>
      </x:c>
      <x:c r="I181" s="56" t="n">
        <x:v>0.1</x:v>
      </x:c>
      <x:c r="J181" s="57" t="n">
        <x:v>820993.8768437947</x:v>
      </x:c>
      <x:c r="K181" s="58" t="n">
        <x:f>J181*(E181-D181)</x:f>
        <x:v>82542.72437787511</x:v>
      </x:c>
    </x:row>
    <x:row r="182" ht="19.5" customHeight="1">
      <x:c r="A182" s="18" t="n">
        <x:v>45627</x:v>
      </x:c>
      <x:c r="B182" s="35" t="str">
        <x:v>ADA</x:v>
      </x:c>
      <x:c r="C182" s="35" t="str">
        <x:v>新买入</x:v>
      </x:c>
      <x:c r="D182" s="49" t="n">
        <x:v>1.082</x:v>
      </x:c>
      <x:c r="E182" s="49" t="n">
        <x:v>0.851</x:v>
      </x:c>
      <x:c r="F182" s="19" t="n">
        <x:f>E182/D182-1</x:f>
        <x:v>-0.21349353049907582</x:v>
      </x:c>
      <x:c r="G182" s="50" t="n">
        <x:v>45658.010416666664</x:v>
      </x:c>
      <x:c r="H182" s="35" t="str">
        <x:v>下次换仓边界（非必然全卖）</x:v>
      </x:c>
      <x:c r="I182" s="53" t="n">
        <x:v>0.1</x:v>
      </x:c>
      <x:c r="J182" s="54" t="n">
        <x:v>127512.03419926035</x:v>
      </x:c>
      <x:c r="K182" s="55" t="n">
        <x:f>J182*(E182-D182)</x:f>
        <x:v>-29455.279900029152</x:v>
      </x:c>
    </x:row>
    <x:row r="183" ht="19.5" customHeight="1">
      <x:c r="A183" s="23" t="n">
        <x:v>45627</x:v>
      </x:c>
      <x:c r="B183" s="42" t="str">
        <x:v>SAND</x:v>
      </x:c>
      <x:c r="C183" s="42" t="str">
        <x:v>新买入</x:v>
      </x:c>
      <x:c r="D183" s="51" t="n">
        <x:v>0.67247</x:v>
      </x:c>
      <x:c r="E183" s="51" t="n">
        <x:v>0.54909</x:v>
      </x:c>
      <x:c r="F183" s="24" t="n">
        <x:f>E183/D183-1</x:f>
        <x:v>-0.1834728686781567</x:v>
      </x:c>
      <x:c r="G183" s="52" t="n">
        <x:v>45658.010416666664</x:v>
      </x:c>
      <x:c r="H183" s="42" t="str">
        <x:v>下次换仓边界（非必然全卖）</x:v>
      </x:c>
      <x:c r="I183" s="56" t="n">
        <x:v>0.1</x:v>
      </x:c>
      <x:c r="J183" s="57" t="n">
        <x:v>205166.06094487445</x:v>
      </x:c>
      <x:c r="K183" s="58" t="n">
        <x:f>J183*(E183-D183)</x:f>
        <x:v>-25313.38859937862</x:v>
      </x:c>
    </x:row>
    <x:row r="184" ht="19.5" customHeight="1">
      <x:c r="A184" s="18" t="n">
        <x:v>45627</x:v>
      </x:c>
      <x:c r="B184" s="35" t="str">
        <x:v>THETA</x:v>
      </x:c>
      <x:c r="C184" s="35" t="str">
        <x:v>新买入</x:v>
      </x:c>
      <x:c r="D184" s="49" t="n">
        <x:v>3.0259</x:v>
      </x:c>
      <x:c r="E184" s="49" t="n">
        <x:v>2.2381</x:v>
      </x:c>
      <x:c r="F184" s="19" t="n">
        <x:f>E184/D184-1</x:f>
        <x:v>-0.2603522918801018</x:v>
      </x:c>
      <x:c r="G184" s="50" t="n">
        <x:v>45658.010416666664</x:v>
      </x:c>
      <x:c r="H184" s="35" t="str">
        <x:v>下次换仓边界（非必然全卖）</x:v>
      </x:c>
      <x:c r="I184" s="53" t="n">
        <x:v>0.1</x:v>
      </x:c>
      <x:c r="J184" s="54" t="n">
        <x:v>45595.6974796258</x:v>
      </x:c>
      <x:c r="K184" s="55" t="n">
        <x:f>J184*(E184-D184)</x:f>
        <x:v>-35920.2904744492</x:v>
      </x:c>
    </x:row>
    <x:row r="185" ht="19.5" customHeight="1">
      <x:c r="A185" s="23" t="n">
        <x:v>45627</x:v>
      </x:c>
      <x:c r="B185" s="42" t="str">
        <x:v>CRV</x:v>
      </x:c>
      <x:c r="C185" s="42" t="str">
        <x:v>新买入</x:v>
      </x:c>
      <x:c r="D185" s="51" t="n">
        <x:v>0.72</x:v>
      </x:c>
      <x:c r="E185" s="51" t="n">
        <x:v>0.902</x:v>
      </x:c>
      <x:c r="F185" s="24" t="n">
        <x:f>E185/D185-1</x:f>
        <x:v>0.25277777777777777</x:v>
      </x:c>
      <x:c r="G185" s="52" t="n">
        <x:v>45658.010416666664</x:v>
      </x:c>
      <x:c r="H185" s="42" t="str">
        <x:v>下次换仓边界（非必然全卖）</x:v>
      </x:c>
      <x:c r="I185" s="56" t="n">
        <x:v>0.1</x:v>
      </x:c>
      <x:c r="J185" s="57" t="n">
        <x:v>191622.2513938885</x:v>
      </x:c>
      <x:c r="K185" s="58" t="n">
        <x:f>J185*(E185-D185)</x:f>
        <x:v>34875.24975368771</x:v>
      </x:c>
    </x:row>
    <x:row r="186" ht="19.5" customHeight="1">
      <x:c r="A186" s="18" t="n">
        <x:v>45627</x:v>
      </x:c>
      <x:c r="B186" s="35" t="str">
        <x:v>XTZ</x:v>
      </x:c>
      <x:c r="C186" s="35" t="str">
        <x:v>新买入</x:v>
      </x:c>
      <x:c r="D186" s="49" t="n">
        <x:v>1.666</x:v>
      </x:c>
      <x:c r="E186" s="49" t="n">
        <x:v>1.288</x:v>
      </x:c>
      <x:c r="F186" s="19" t="n">
        <x:f>E186/D186-1</x:f>
        <x:v>-0.22689075630252098</x:v>
      </x:c>
      <x:c r="G186" s="50" t="n">
        <x:v>45658.010416666664</x:v>
      </x:c>
      <x:c r="H186" s="35" t="str">
        <x:v>下次换仓边界（非必然全卖）</x:v>
      </x:c>
      <x:c r="I186" s="53" t="n">
        <x:v>0.1</x:v>
      </x:c>
      <x:c r="J186" s="54" t="n">
        <x:v>82813.9381774308</x:v>
      </x:c>
      <x:c r="K186" s="55" t="n">
        <x:f>J186*(E186-D186)</x:f>
        <x:v>-31303.668631068835</x:v>
      </x:c>
    </x:row>
    <x:row r="187" ht="19.5" customHeight="1">
      <x:c r="A187" s="23" t="n">
        <x:v>45627</x:v>
      </x:c>
      <x:c r="B187" s="42" t="str">
        <x:v>DOGE</x:v>
      </x:c>
      <x:c r="C187" s="42" t="str">
        <x:v>续持调仓</x:v>
      </x:c>
      <x:c r="D187" s="51" t="n">
        <x:v>0.42352</x:v>
      </x:c>
      <x:c r="E187" s="51" t="n">
        <x:v>0.31759</x:v>
      </x:c>
      <x:c r="F187" s="24" t="n">
        <x:f>E187/D187-1</x:f>
        <x:v>-0.25011805817907073</x:v>
      </x:c>
      <x:c r="G187" s="52" t="n">
        <x:v>45658.010416666664</x:v>
      </x:c>
      <x:c r="H187" s="42" t="str">
        <x:v>下次换仓边界（非必然全卖）</x:v>
      </x:c>
      <x:c r="I187" s="56" t="n">
        <x:v>0.1</x:v>
      </x:c>
      <x:c r="J187" s="57" t="n">
        <x:v>325765.0665933125</x:v>
      </x:c>
      <x:c r="K187" s="58" t="n">
        <x:f>J187*(E187-D187)</x:f>
        <x:v>-34508.2935042296</x:v>
      </x:c>
    </x:row>
    <x:row r="188" ht="19.5" customHeight="1">
      <x:c r="A188" s="18" t="n">
        <x:v>45658</x:v>
      </x:c>
      <x:c r="B188" s="35" t="str">
        <x:v>MORPHO</x:v>
      </x:c>
      <x:c r="C188" s="35" t="str">
        <x:v>新买入</x:v>
      </x:c>
      <x:c r="D188" s="49" t="n">
        <x:v>3.445</x:v>
      </x:c>
      <x:c r="E188" s="49" t="n">
        <x:v>3.1365</x:v>
      </x:c>
      <x:c r="F188" s="19" t="n">
        <x:f>E188/D188-1</x:f>
        <x:v>-0.08955007256894054</x:v>
      </x:c>
      <x:c r="G188" s="50" t="n">
        <x:v>45689.010416666664</x:v>
      </x:c>
      <x:c r="H188" s="35" t="str">
        <x:v>下次换仓边界（非必然全卖）</x:v>
      </x:c>
      <x:c r="I188" s="53" t="n">
        <x:v>0.1</x:v>
      </x:c>
      <x:c r="J188" s="54" t="n">
        <x:v>36794.57849589964</x:v>
      </x:c>
      <x:c r="K188" s="55" t="n">
        <x:f>J188*(E188-D188)</x:f>
        <x:v>-11351.127465985039</x:v>
      </x:c>
    </x:row>
    <x:row r="189" ht="19.5" customHeight="1">
      <x:c r="A189" s="23" t="n">
        <x:v>45658</x:v>
      </x:c>
      <x:c r="B189" s="42" t="str">
        <x:v>UXLINK</x:v>
      </x:c>
      <x:c r="C189" s="42" t="str">
        <x:v>新买入</x:v>
      </x:c>
      <x:c r="D189" s="51" t="n">
        <x:v>1.4644</x:v>
      </x:c>
      <x:c r="E189" s="51" t="n">
        <x:v>0.8144</x:v>
      </x:c>
      <x:c r="F189" s="24" t="n">
        <x:f>E189/D189-1</x:f>
        <x:v>-0.4438677956842393</x:v>
      </x:c>
      <x:c r="G189" s="52" t="n">
        <x:v>45689.010416666664</x:v>
      </x:c>
      <x:c r="H189" s="42" t="str">
        <x:v>下次换仓边界（非必然全卖）</x:v>
      </x:c>
      <x:c r="I189" s="56" t="n">
        <x:v>0.1</x:v>
      </x:c>
      <x:c r="J189" s="57" t="n">
        <x:v>86559.22078556012</x:v>
      </x:c>
      <x:c r="K189" s="58" t="n">
        <x:f>J189*(E189-D189)</x:f>
        <x:v>-56263.49351061407</x:v>
      </x:c>
    </x:row>
    <x:row r="190" ht="19.5" customHeight="1">
      <x:c r="A190" s="18" t="n">
        <x:v>45658</x:v>
      </x:c>
      <x:c r="B190" s="35" t="str">
        <x:v>COW</x:v>
      </x:c>
      <x:c r="C190" s="35" t="str">
        <x:v>新买入</x:v>
      </x:c>
      <x:c r="D190" s="49" t="n">
        <x:v>0.8901</x:v>
      </x:c>
      <x:c r="E190" s="49" t="n">
        <x:v>0.5709</x:v>
      </x:c>
      <x:c r="F190" s="19" t="n">
        <x:f>E190/D190-1</x:f>
        <x:v>-0.3586113919784294</x:v>
      </x:c>
      <x:c r="G190" s="50" t="n">
        <x:v>45689.010416666664</x:v>
      </x:c>
      <x:c r="H190" s="35" t="str">
        <x:v>下次换仓边界（非必然全卖）</x:v>
      </x:c>
      <x:c r="I190" s="53" t="n">
        <x:v>0.1</x:v>
      </x:c>
      <x:c r="J190" s="54" t="n">
        <x:v>142407.95744115743</x:v>
      </x:c>
      <x:c r="K190" s="55" t="n">
        <x:f>J190*(E190-D190)</x:f>
        <x:v>-45456.62001521746</x:v>
      </x:c>
    </x:row>
    <x:row r="191" ht="19.5" customHeight="1">
      <x:c r="A191" s="23" t="n">
        <x:v>45658</x:v>
      </x:c>
      <x:c r="B191" s="42" t="str">
        <x:v>XVG</x:v>
      </x:c>
      <x:c r="C191" s="42" t="str">
        <x:v>新买入</x:v>
      </x:c>
      <x:c r="D191" s="51" t="n">
        <x:v>0.0131715</x:v>
      </x:c>
      <x:c r="E191" s="51" t="n">
        <x:v>0.0086742</x:v>
      </x:c>
      <x:c r="F191" s="24" t="n">
        <x:f>E191/D191-1</x:f>
        <x:v>-0.3414417492312948</x:v>
      </x:c>
      <x:c r="G191" s="52" t="n">
        <x:v>45689.010416666664</x:v>
      </x:c>
      <x:c r="H191" s="42" t="str">
        <x:v>下次换仓边界（非必然全卖）</x:v>
      </x:c>
      <x:c r="I191" s="56" t="n">
        <x:v>0.1</x:v>
      </x:c>
      <x:c r="J191" s="57" t="n">
        <x:v>9623605.733468037</x:v>
      </x:c>
      <x:c r="K191" s="58" t="n">
        <x:f>J191*(E191-D191)</x:f>
        <x:v>-43280.24206512579</x:v>
      </x:c>
    </x:row>
    <x:row r="192" ht="19.5" customHeight="1">
      <x:c r="A192" s="18" t="n">
        <x:v>45658</x:v>
      </x:c>
      <x:c r="B192" s="35" t="str">
        <x:v>ZEN</x:v>
      </x:c>
      <x:c r="C192" s="35" t="str">
        <x:v>新买入</x:v>
      </x:c>
      <x:c r="D192" s="49" t="n">
        <x:v>29.074</x:v>
      </x:c>
      <x:c r="E192" s="49" t="n">
        <x:v>19.101</x:v>
      </x:c>
      <x:c r="F192" s="19" t="n">
        <x:f>E192/D192-1</x:f>
        <x:v>-0.34302125610511114</x:v>
      </x:c>
      <x:c r="G192" s="50" t="n">
        <x:v>45689.010416666664</x:v>
      </x:c>
      <x:c r="H192" s="35" t="str">
        <x:v>下次换仓边界（非必然全卖）</x:v>
      </x:c>
      <x:c r="I192" s="53" t="n">
        <x:v>0.1</x:v>
      </x:c>
      <x:c r="J192" s="54" t="n">
        <x:v>4359.817119019544</x:v>
      </x:c>
      <x:c r="K192" s="55" t="n">
        <x:f>J192*(E192-D192)</x:f>
        <x:v>-43480.456127981925</x:v>
      </x:c>
    </x:row>
    <x:row r="193" ht="19.5" customHeight="1">
      <x:c r="A193" s="23" t="n">
        <x:v>45658</x:v>
      </x:c>
      <x:c r="B193" s="42" t="str">
        <x:v>HBAR</x:v>
      </x:c>
      <x:c r="C193" s="42" t="str">
        <x:v>续持调仓</x:v>
      </x:c>
      <x:c r="D193" s="51" t="n">
        <x:v>0.26859</x:v>
      </x:c>
      <x:c r="E193" s="51" t="n">
        <x:v>0.30584</x:v>
      </x:c>
      <x:c r="F193" s="24" t="n">
        <x:f>E193/D193-1</x:f>
        <x:v>0.13868721843702292</x:v>
      </x:c>
      <x:c r="G193" s="52" t="n">
        <x:v>45689.010416666664</x:v>
      </x:c>
      <x:c r="H193" s="42" t="str">
        <x:v>下次换仓边界（非必然全卖）</x:v>
      </x:c>
      <x:c r="I193" s="56" t="n">
        <x:v>0.1</x:v>
      </x:c>
      <x:c r="J193" s="57" t="n">
        <x:v>471936.12166638457</x:v>
      </x:c>
      <x:c r="K193" s="58" t="n">
        <x:f>J193*(E193-D193)</x:f>
        <x:v>17579.62053207283</x:v>
      </x:c>
    </x:row>
    <x:row r="194" ht="19.5" customHeight="1">
      <x:c r="A194" s="18" t="n">
        <x:v>45658</x:v>
      </x:c>
      <x:c r="B194" s="35" t="str">
        <x:v>AGLD</x:v>
      </x:c>
      <x:c r="C194" s="35" t="str">
        <x:v>新买入</x:v>
      </x:c>
      <x:c r="D194" s="49" t="n">
        <x:v>2.4275</x:v>
      </x:c>
      <x:c r="E194" s="49" t="n">
        <x:v>1.4793</x:v>
      </x:c>
      <x:c r="F194" s="19" t="n">
        <x:f>E194/D194-1</x:f>
        <x:v>-0.3906076210092688</x:v>
      </x:c>
      <x:c r="G194" s="50" t="n">
        <x:v>45689.010416666664</x:v>
      </x:c>
      <x:c r="H194" s="35" t="str">
        <x:v>下次换仓边界（非必然全卖）</x:v>
      </x:c>
      <x:c r="I194" s="53" t="n">
        <x:v>0.1</x:v>
      </x:c>
      <x:c r="J194" s="54" t="n">
        <x:v>52217.22880262584</x:v>
      </x:c>
      <x:c r="K194" s="55" t="n">
        <x:f>J194*(E194-D194)</x:f>
        <x:v>-49512.37635064983</x:v>
      </x:c>
    </x:row>
    <x:row r="195" ht="19.5" customHeight="1">
      <x:c r="A195" s="23" t="n">
        <x:v>45658</x:v>
      </x:c>
      <x:c r="B195" s="42" t="str">
        <x:v>1000CHEEMS</x:v>
      </x:c>
      <x:c r="C195" s="42" t="str">
        <x:v>新买入</x:v>
      </x:c>
      <x:c r="D195" s="51" t="n">
        <x:v>0.0010376</x:v>
      </x:c>
      <x:c r="E195" s="51" t="n">
        <x:v>0.0008548</x:v>
      </x:c>
      <x:c r="F195" s="24" t="n">
        <x:f>E195/D195-1</x:f>
        <x:v>-0.17617579028527375</x:v>
      </x:c>
      <x:c r="G195" s="52" t="n">
        <x:v>45689.010416666664</x:v>
      </x:c>
      <x:c r="H195" s="42" t="str">
        <x:v>下次换仓边界（非必然全卖）</x:v>
      </x:c>
      <x:c r="I195" s="56" t="n">
        <x:v>0.1</x:v>
      </x:c>
      <x:c r="J195" s="57" t="n">
        <x:v>122163958.09403838</x:v>
      </x:c>
      <x:c r="K195" s="58" t="n">
        <x:f>J195*(E195-D195)</x:f>
        <x:v>-22331.57153959023</x:v>
      </x:c>
    </x:row>
    <x:row r="196" ht="19.5" customHeight="1">
      <x:c r="A196" s="18" t="n">
        <x:v>45658</x:v>
      </x:c>
      <x:c r="B196" s="35" t="str">
        <x:v>AAVE</x:v>
      </x:c>
      <x:c r="C196" s="35" t="str">
        <x:v>新买入</x:v>
      </x:c>
      <x:c r="D196" s="49" t="n">
        <x:v>310.34</x:v>
      </x:c>
      <x:c r="E196" s="49" t="n">
        <x:v>331.58</x:v>
      </x:c>
      <x:c r="F196" s="19" t="n">
        <x:f>E196/D196-1</x:f>
        <x:v>0.06844106463878341</x:v>
      </x:c>
      <x:c r="G196" s="50" t="n">
        <x:v>45689.010416666664</x:v>
      </x:c>
      <x:c r="H196" s="35" t="str">
        <x:v>下次换仓边界（非必然全卖）</x:v>
      </x:c>
      <x:c r="I196" s="53" t="n">
        <x:v>0.1</x:v>
      </x:c>
      <x:c r="J196" s="54" t="n">
        <x:v>408.4466163510158</x:v>
      </x:c>
      <x:c r="K196" s="55" t="n">
        <x:f>J196*(E196-D196)</x:f>
        <x:v>8675.406131295578</x:v>
      </x:c>
    </x:row>
    <x:row r="197" ht="19.5" customHeight="1">
      <x:c r="A197" s="23" t="n">
        <x:v>45658</x:v>
      </x:c>
      <x:c r="B197" s="42" t="str">
        <x:v>TROY</x:v>
      </x:c>
      <x:c r="C197" s="42" t="str">
        <x:v>新买入</x:v>
      </x:c>
      <x:c r="D197" s="51" t="n">
        <x:v>0.006108</x:v>
      </x:c>
      <x:c r="E197" s="51" t="n">
        <x:v>0.001847</x:v>
      </x:c>
      <x:c r="F197" s="24" t="n">
        <x:f>E197/D197-1</x:f>
        <x:v>-0.6976096922069417</x:v>
      </x:c>
      <x:c r="G197" s="52" t="n">
        <x:v>45689.010416666664</x:v>
      </x:c>
      <x:c r="H197" s="42" t="str">
        <x:v>下次换仓边界（非必然全卖）</x:v>
      </x:c>
      <x:c r="I197" s="56" t="n">
        <x:v>0.1</x:v>
      </x:c>
      <x:c r="J197" s="57" t="n">
        <x:v>20752672.383492835</x:v>
      </x:c>
      <x:c r="K197" s="58" t="n">
        <x:f>J197*(E197-D197)</x:f>
        <x:v>-88427.13702606296</x:v>
      </x:c>
    </x:row>
    <x:row r="198" ht="19.5" customHeight="1">
      <x:c r="A198" s="18" t="n">
        <x:v>45689</x:v>
      </x:c>
      <x:c r="B198" s="35" t="str">
        <x:v>SPELL</x:v>
      </x:c>
      <x:c r="C198" s="35" t="str">
        <x:v>新买入</x:v>
      </x:c>
      <x:c r="D198" s="49" t="n">
        <x:v>0.00153</x:v>
      </x:c>
      <x:c r="E198" s="49" t="n">
        <x:v>0.0007561</x:v>
      </x:c>
      <x:c r="F198" s="19" t="n">
        <x:f>E198/D198-1</x:f>
        <x:v>-0.5058169934640522</x:v>
      </x:c>
      <x:c r="G198" s="50" t="n">
        <x:v>45717.010416666664</x:v>
      </x:c>
      <x:c r="H198" s="35" t="str">
        <x:v>下次换仓边界（非必然全卖）</x:v>
      </x:c>
      <x:c r="I198" s="53" t="n">
        <x:v>0.1</x:v>
      </x:c>
      <x:c r="J198" s="54" t="n">
        <x:v>60857153.99887474</x:v>
      </x:c>
      <x:c r="K198" s="55" t="n">
        <x:f>J198*(E198-D198)</x:f>
        <x:v>-47097.35147972916</x:v>
      </x:c>
    </x:row>
    <x:row r="199" ht="19.5" customHeight="1">
      <x:c r="A199" s="23" t="n">
        <x:v>45689</x:v>
      </x:c>
      <x:c r="B199" s="42" t="str">
        <x:v>ACH</x:v>
      </x:c>
      <x:c r="C199" s="42" t="str">
        <x:v>新买入</x:v>
      </x:c>
      <x:c r="D199" s="51" t="n">
        <x:v>0.047547</x:v>
      </x:c>
      <x:c r="E199" s="51" t="n">
        <x:v>0.03207</x:v>
      </x:c>
      <x:c r="F199" s="24" t="n">
        <x:f>E199/D199-1</x:f>
        <x:v>-0.3255094958672471</x:v>
      </x:c>
      <x:c r="G199" s="52" t="n">
        <x:v>45717.010416666664</x:v>
      </x:c>
      <x:c r="H199" s="42" t="str">
        <x:v>下次换仓边界（非必然全卖）</x:v>
      </x:c>
      <x:c r="I199" s="56" t="n">
        <x:v>0.1</x:v>
      </x:c>
      <x:c r="J199" s="57" t="n">
        <x:v>1958303.270832615</x:v>
      </x:c>
      <x:c r="K199" s="58" t="n">
        <x:f>J199*(E199-D199)</x:f>
        <x:v>-30308.659722676377</x:v>
      </x:c>
    </x:row>
    <x:row r="200" ht="19.5" customHeight="1">
      <x:c r="A200" s="18" t="n">
        <x:v>45689</x:v>
      </x:c>
      <x:c r="B200" s="35" t="str">
        <x:v>XRP</x:v>
      </x:c>
      <x:c r="C200" s="35" t="str">
        <x:v>新买入</x:v>
      </x:c>
      <x:c r="D200" s="49" t="n">
        <x:v>3.037</x:v>
      </x:c>
      <x:c r="E200" s="49" t="n">
        <x:v>2.1512</x:v>
      </x:c>
      <x:c r="F200" s="19" t="n">
        <x:f>E200/D200-1</x:f>
        <x:v>-0.29166941060256835</x:v>
      </x:c>
      <x:c r="G200" s="50" t="n">
        <x:v>45717.010416666664</x:v>
      </x:c>
      <x:c r="H200" s="35" t="str">
        <x:v>下次换仓边界（非必然全卖）</x:v>
      </x:c>
      <x:c r="I200" s="53" t="n">
        <x:v>0.1</x:v>
      </x:c>
      <x:c r="J200" s="54" t="n">
        <x:v>30659.02061846505</x:v>
      </x:c>
      <x:c r="K200" s="55" t="n">
        <x:f>J200*(E200-D200)</x:f>
        <x:v>-27157.760463836345</x:v>
      </x:c>
    </x:row>
    <x:row r="201" ht="19.5" customHeight="1">
      <x:c r="A201" s="23" t="n">
        <x:v>45689</x:v>
      </x:c>
      <x:c r="B201" s="42" t="str">
        <x:v>RAYSOL</x:v>
      </x:c>
      <x:c r="C201" s="42" t="str">
        <x:v>新买入</x:v>
      </x:c>
      <x:c r="D201" s="51" t="n">
        <x:v>7.0702</x:v>
      </x:c>
      <x:c r="E201" s="51" t="n">
        <x:v>2.3942</x:v>
      </x:c>
      <x:c r="F201" s="24" t="n">
        <x:f>E201/D201-1</x:f>
        <x:v>-0.6613674294928007</x:v>
      </x:c>
      <x:c r="G201" s="52" t="n">
        <x:v>45717.010416666664</x:v>
      </x:c>
      <x:c r="H201" s="42" t="str">
        <x:v>下次换仓边界（非必然全卖）</x:v>
      </x:c>
      <x:c r="I201" s="56" t="n">
        <x:v>0.1</x:v>
      </x:c>
      <x:c r="J201" s="57" t="n">
        <x:v>13169.56318325908</x:v>
      </x:c>
      <x:c r="K201" s="58" t="n">
        <x:f>J201*(E201-D201)</x:f>
        <x:v>-61580.87744491946</x:v>
      </x:c>
    </x:row>
    <x:row r="202" ht="19.5" customHeight="1">
      <x:c r="A202" s="18" t="n">
        <x:v>45689</x:v>
      </x:c>
      <x:c r="B202" s="35" t="str">
        <x:v>DEXE</x:v>
      </x:c>
      <x:c r="C202" s="35" t="str">
        <x:v>新买入</x:v>
      </x:c>
      <x:c r="D202" s="49" t="n">
        <x:v>21.491</x:v>
      </x:c>
      <x:c r="E202" s="49" t="n">
        <x:v>18.507</x:v>
      </x:c>
      <x:c r="F202" s="19" t="n">
        <x:f>E202/D202-1</x:f>
        <x:v>-0.13884882043646174</x:v>
      </x:c>
      <x:c r="G202" s="50" t="n">
        <x:v>45717.010416666664</x:v>
      </x:c>
      <x:c r="H202" s="35" t="str">
        <x:v>下次换仓边界（非必然全卖）</x:v>
      </x:c>
      <x:c r="I202" s="53" t="n">
        <x:v>0.1</x:v>
      </x:c>
      <x:c r="J202" s="54" t="n">
        <x:v>4332.578550010625</x:v>
      </x:c>
      <x:c r="K202" s="55" t="n">
        <x:f>J202*(E202-D202)</x:f>
        <x:v>-12928.414393231697</x:v>
      </x:c>
    </x:row>
    <x:row r="203" ht="19.5" customHeight="1">
      <x:c r="A203" s="23" t="n">
        <x:v>45689</x:v>
      </x:c>
      <x:c r="B203" s="42" t="str">
        <x:v>OM</x:v>
      </x:c>
      <x:c r="C203" s="42" t="str">
        <x:v>新买入</x:v>
      </x:c>
      <x:c r="D203" s="51" t="n">
        <x:v>5.33732</x:v>
      </x:c>
      <x:c r="E203" s="51" t="n">
        <x:v>7.60912</x:v>
      </x:c>
      <x:c r="F203" s="24" t="n">
        <x:f>E203/D203-1</x:f>
        <x:v>0.42564433086268005</x:v>
      </x:c>
      <x:c r="G203" s="52" t="n">
        <x:v>45717.010416666664</x:v>
      </x:c>
      <x:c r="H203" s="42" t="str">
        <x:v>下次换仓边界（非必然全卖）</x:v>
      </x:c>
      <x:c r="I203" s="56" t="n">
        <x:v>0.1</x:v>
      </x:c>
      <x:c r="J203" s="57" t="n">
        <x:v>17445.355650078756</x:v>
      </x:c>
      <x:c r="K203" s="58" t="n">
        <x:f>J203*(E203-D203)</x:f>
        <x:v>39632.358965848915</x:v>
      </x:c>
    </x:row>
    <x:row r="204" ht="19.5" customHeight="1">
      <x:c r="A204" s="18" t="n">
        <x:v>45689</x:v>
      </x:c>
      <x:c r="B204" s="35" t="str">
        <x:v>SPX</x:v>
      </x:c>
      <x:c r="C204" s="35" t="str">
        <x:v>新买入</x:v>
      </x:c>
      <x:c r="D204" s="49" t="n">
        <x:v>1.1948</x:v>
      </x:c>
      <x:c r="E204" s="49" t="n">
        <x:v>0.5344</x:v>
      </x:c>
      <x:c r="F204" s="19" t="n">
        <x:f>E204/D204-1</x:f>
        <x:v>-0.5527284901238702</x:v>
      </x:c>
      <x:c r="G204" s="50" t="n">
        <x:v>45717.010416666664</x:v>
      </x:c>
      <x:c r="H204" s="35" t="str">
        <x:v>下次换仓边界（非必然全卖）</x:v>
      </x:c>
      <x:c r="I204" s="53" t="n">
        <x:v>0.1</x:v>
      </x:c>
      <x:c r="J204" s="54" t="n">
        <x:v>77930.57048734378</x:v>
      </x:c>
      <x:c r="K204" s="55" t="n">
        <x:f>J204*(E204-D204)</x:f>
        <x:v>-51465.34874984184</x:v>
      </x:c>
    </x:row>
    <x:row r="205" ht="19.5" customHeight="1">
      <x:c r="A205" s="23" t="n">
        <x:v>45689</x:v>
      </x:c>
      <x:c r="B205" s="42" t="str">
        <x:v>BEL</x:v>
      </x:c>
      <x:c r="C205" s="42" t="str">
        <x:v>新买入</x:v>
      </x:c>
      <x:c r="D205" s="51" t="n">
        <x:v>0.7345</x:v>
      </x:c>
      <x:c r="E205" s="51" t="n">
        <x:v>1.0563</x:v>
      </x:c>
      <x:c r="F205" s="24" t="n">
        <x:f>E205/D205-1</x:f>
        <x:v>0.4381211708645336</x:v>
      </x:c>
      <x:c r="G205" s="52" t="n">
        <x:v>45717.010416666664</x:v>
      </x:c>
      <x:c r="H205" s="42" t="str">
        <x:v>下次换仓边界（非必然全卖）</x:v>
      </x:c>
      <x:c r="I205" s="56" t="n">
        <x:v>0.1</x:v>
      </x:c>
      <x:c r="J205" s="57" t="n">
        <x:v>126768.47599493308</x:v>
      </x:c>
      <x:c r="K205" s="58" t="n">
        <x:f>J205*(E205-D205)</x:f>
        <x:v>40794.095575169464</x:v>
      </x:c>
    </x:row>
    <x:row r="206" ht="19.5" customHeight="1">
      <x:c r="A206" s="18" t="n">
        <x:v>45689</x:v>
      </x:c>
      <x:c r="B206" s="35" t="str">
        <x:v>LDO</x:v>
      </x:c>
      <x:c r="C206" s="35" t="str">
        <x:v>新买入</x:v>
      </x:c>
      <x:c r="D206" s="49" t="n">
        <x:v>2.2871</x:v>
      </x:c>
      <x:c r="E206" s="49" t="n">
        <x:v>1.2681</x:v>
      </x:c>
      <x:c r="F206" s="19" t="n">
        <x:f>E206/D206-1</x:f>
        <x:v>-0.4455423899261073</x:v>
      </x:c>
      <x:c r="G206" s="50" t="n">
        <x:v>45717.010416666664</x:v>
      </x:c>
      <x:c r="H206" s="35" t="str">
        <x:v>下次换仓边界（非必然全卖）</x:v>
      </x:c>
      <x:c r="I206" s="53" t="n">
        <x:v>0.1</x:v>
      </x:c>
      <x:c r="J206" s="54" t="n">
        <x:v>40711.576065007364</x:v>
      </x:c>
      <x:c r="K206" s="55" t="n">
        <x:f>J206*(E206-D206)</x:f>
        <x:v>-41485.09601024251</x:v>
      </x:c>
    </x:row>
    <x:row r="207" ht="19.5" customHeight="1">
      <x:c r="A207" s="23" t="n">
        <x:v>45689</x:v>
      </x:c>
      <x:c r="B207" s="42" t="str">
        <x:v>JUP</x:v>
      </x:c>
      <x:c r="C207" s="42" t="str">
        <x:v>新买入</x:v>
      </x:c>
      <x:c r="D207" s="51" t="n">
        <x:v>1.0367</x:v>
      </x:c>
      <x:c r="E207" s="51" t="n">
        <x:v>0.7515</x:v>
      </x:c>
      <x:c r="F207" s="24" t="n">
        <x:f>E207/D207-1</x:f>
        <x:v>-0.2751036944149706</x:v>
      </x:c>
      <x:c r="G207" s="52" t="n">
        <x:v>45717.010416666664</x:v>
      </x:c>
      <x:c r="H207" s="42" t="str">
        <x:v>下次换仓边界（非必然全卖）</x:v>
      </x:c>
      <x:c r="I207" s="56" t="n">
        <x:v>0.1</x:v>
      </x:c>
      <x:c r="J207" s="57" t="n">
        <x:v>89815.22679490532</x:v>
      </x:c>
      <x:c r="K207" s="58" t="n">
        <x:f>J207*(E207-D207)</x:f>
        <x:v>-25615.302681906996</x:v>
      </x:c>
    </x:row>
    <x:row r="208" ht="19.5" customHeight="1">
      <x:c r="A208" s="18" t="n">
        <x:v>45717</x:v>
      </x:c>
      <x:c r="B208" s="35" t="str">
        <x:v>BNX</x:v>
      </x:c>
      <x:c r="C208" s="35" t="str">
        <x:v>新买入</x:v>
      </x:c>
      <x:c r="D208" s="49" t="n">
        <x:v>1.1958</x:v>
      </x:c>
      <x:c r="E208" s="49" t="n">
        <x:v>1.8223638648333336</x:v>
      </x:c>
      <x:c r="F208" s="19" t="n">
        <x:f>E208/D208-1</x:f>
        <x:v>0.5239704506048952</x:v>
      </x:c>
      <x:c r="G208" s="50" t="n">
        <x:v>45733.375</x:v>
      </x:c>
      <x:c r="H208" s="35" t="str">
        <x:v>下架自动结算（估算）</x:v>
      </x:c>
      <x:c r="I208" s="53" t="n">
        <x:v>0.1</x:v>
      </x:c>
      <x:c r="J208" s="54" t="n">
        <x:v>59567.17688783245</x:v>
      </x:c>
      <x:c r="K208" s="55" t="n">
        <x:f>J208*(E208-D208)</x:f>
        <x:v>37322.64056805112</x:v>
      </x:c>
    </x:row>
    <x:row r="209" ht="19.5" customHeight="1">
      <x:c r="A209" s="23" t="n">
        <x:v>45717</x:v>
      </x:c>
      <x:c r="B209" s="42" t="str">
        <x:v>BAN</x:v>
      </x:c>
      <x:c r="C209" s="42" t="str">
        <x:v>新买入</x:v>
      </x:c>
      <x:c r="D209" s="51" t="n">
        <x:v>0.0575</x:v>
      </x:c>
      <x:c r="E209" s="51" t="n">
        <x:v>0.0602</x:v>
      </x:c>
      <x:c r="F209" s="24" t="n">
        <x:f>E209/D209-1</x:f>
        <x:v>0.04695652173913034</x:v>
      </x:c>
      <x:c r="G209" s="52" t="n">
        <x:v>45748.010416666664</x:v>
      </x:c>
      <x:c r="H209" s="42" t="str">
        <x:v>下次换仓边界（非必然全卖）</x:v>
      </x:c>
      <x:c r="I209" s="56" t="n">
        <x:v>0.1</x:v>
      </x:c>
      <x:c r="J209" s="57" t="n">
        <x:v>1238790.0890864355</x:v>
      </x:c>
      <x:c r="K209" s="58" t="n">
        <x:f>J209*(E209-D209)</x:f>
        <x:v>3344.7332405333686</x:v>
      </x:c>
    </x:row>
    <x:row r="210" ht="19.5" customHeight="1">
      <x:c r="A210" s="18" t="n">
        <x:v>45717</x:v>
      </x:c>
      <x:c r="B210" s="35" t="str">
        <x:v>BEL</x:v>
      </x:c>
      <x:c r="C210" s="35" t="str">
        <x:v>续持调仓</x:v>
      </x:c>
      <x:c r="D210" s="49" t="n">
        <x:v>1.0563</x:v>
      </x:c>
      <x:c r="E210" s="49" t="n">
        <x:v>0.7139</x:v>
      </x:c>
      <x:c r="F210" s="19" t="n">
        <x:f>E210/D210-1</x:f>
        <x:v>-0.32415033607876553</x:v>
      </x:c>
      <x:c r="G210" s="50" t="n">
        <x:v>45748.010416666664</x:v>
      </x:c>
      <x:c r="H210" s="35" t="str">
        <x:v>下次换仓边界（非必然全卖）</x:v>
      </x:c>
      <x:c r="I210" s="53" t="n">
        <x:v>0.1</x:v>
      </x:c>
      <x:c r="J210" s="54" t="n">
        <x:v>67433.90146972456</x:v>
      </x:c>
      <x:c r="K210" s="55" t="n">
        <x:f>J210*(E210-D210)</x:f>
        <x:v>-23089.367863233692</x:v>
      </x:c>
    </x:row>
    <x:row r="211" ht="19.5" customHeight="1">
      <x:c r="A211" s="23" t="n">
        <x:v>45717</x:v>
      </x:c>
      <x:c r="B211" s="42" t="str">
        <x:v>OM</x:v>
      </x:c>
      <x:c r="C211" s="42" t="str">
        <x:v>续持调仓</x:v>
      </x:c>
      <x:c r="D211" s="51" t="n">
        <x:v>7.60912</x:v>
      </x:c>
      <x:c r="E211" s="51" t="n">
        <x:v>6.24701</x:v>
      </x:c>
      <x:c r="F211" s="24" t="n">
        <x:f>E211/D211-1</x:f>
        <x:v>-0.17901018777467037</x:v>
      </x:c>
      <x:c r="G211" s="52" t="n">
        <x:v>45748.010416666664</x:v>
      </x:c>
      <x:c r="H211" s="42" t="str">
        <x:v>下次换仓边界（非必然全卖）</x:v>
      </x:c>
      <x:c r="I211" s="56" t="n">
        <x:v>0.1</x:v>
      </x:c>
      <x:c r="J211" s="57" t="n">
        <x:v>9361.191586211027</x:v>
      </x:c>
      <x:c r="K211" s="58" t="n">
        <x:f>J211*(E211-D211)</x:f>
        <x:v>-12750.972671493897</x:v>
      </x:c>
    </x:row>
    <x:row r="212" ht="19.5" customHeight="1">
      <x:c r="A212" s="18" t="n">
        <x:v>45717</x:v>
      </x:c>
      <x:c r="B212" s="35" t="str">
        <x:v>MKR</x:v>
      </x:c>
      <x:c r="C212" s="35" t="str">
        <x:v>新买入</x:v>
      </x:c>
      <x:c r="D212" s="49" t="n">
        <x:v>1582.2</x:v>
      </x:c>
      <x:c r="E212" s="49" t="n">
        <x:v>1294.9</x:v>
      </x:c>
      <x:c r="F212" s="19" t="n">
        <x:f>E212/D212-1</x:f>
        <x:v>-0.1815826064972822</x:v>
      </x:c>
      <x:c r="G212" s="50" t="n">
        <x:v>45748.010416666664</x:v>
      </x:c>
      <x:c r="H212" s="35" t="str">
        <x:v>下次换仓边界（非必然全卖）</x:v>
      </x:c>
      <x:c r="I212" s="53" t="n">
        <x:v>0.1</x:v>
      </x:c>
      <x:c r="J212" s="54" t="n">
        <x:v>45.01986482269628</x:v>
      </x:c>
      <x:c r="K212" s="55" t="n">
        <x:f>J212*(E212-D212)</x:f>
        <x:v>-12934.207163560639</x:v>
      </x:c>
    </x:row>
    <x:row r="213" ht="19.5" customHeight="1">
      <x:c r="A213" s="23" t="n">
        <x:v>45717</x:v>
      </x:c>
      <x:c r="B213" s="42" t="str">
        <x:v>GRASS</x:v>
      </x:c>
      <x:c r="C213" s="42" t="str">
        <x:v>新买入</x:v>
      </x:c>
      <x:c r="D213" s="51" t="n">
        <x:v>2.1798</x:v>
      </x:c>
      <x:c r="E213" s="51" t="n">
        <x:v>1.7819</x:v>
      </x:c>
      <x:c r="F213" s="24" t="n">
        <x:f>E213/D213-1</x:f>
        <x:v>-0.18253968253968256</x:v>
      </x:c>
      <x:c r="G213" s="52" t="n">
        <x:v>45748.010416666664</x:v>
      </x:c>
      <x:c r="H213" s="42" t="str">
        <x:v>下次换仓边界（非必然全卖）</x:v>
      </x:c>
      <x:c r="I213" s="56" t="n">
        <x:v>0.1</x:v>
      </x:c>
      <x:c r="J213" s="57" t="n">
        <x:v>32677.50716692818</x:v>
      </x:c>
      <x:c r="K213" s="58" t="n">
        <x:f>J213*(E213-D213)</x:f>
        <x:v>-13002.380101720726</x:v>
      </x:c>
    </x:row>
    <x:row r="214" ht="19.5" customHeight="1">
      <x:c r="A214" s="18" t="n">
        <x:v>45717</x:v>
      </x:c>
      <x:c r="B214" s="35" t="str">
        <x:v>PROM</x:v>
      </x:c>
      <x:c r="C214" s="35" t="str">
        <x:v>新买入</x:v>
      </x:c>
      <x:c r="D214" s="49" t="n">
        <x:v>6.354</x:v>
      </x:c>
      <x:c r="E214" s="49" t="n">
        <x:v>6.047</x:v>
      </x:c>
      <x:c r="F214" s="19" t="n">
        <x:f>E214/D214-1</x:f>
        <x:v>-0.04831602140384017</x:v>
      </x:c>
      <x:c r="G214" s="50" t="n">
        <x:v>45748.010416666664</x:v>
      </x:c>
      <x:c r="H214" s="35" t="str">
        <x:v>下次换仓边界（非必然全卖）</x:v>
      </x:c>
      <x:c r="I214" s="53" t="n">
        <x:v>0.1</x:v>
      </x:c>
      <x:c r="J214" s="54" t="n">
        <x:v>11210.32894593485</x:v>
      </x:c>
      <x:c r="K214" s="55" t="n">
        <x:f>J214*(E214-D214)</x:f>
        <x:v>-3441.5709864020037</x:v>
      </x:c>
    </x:row>
    <x:row r="215" ht="19.5" customHeight="1">
      <x:c r="A215" s="23" t="n">
        <x:v>45717</x:v>
      </x:c>
      <x:c r="B215" s="42" t="str">
        <x:v>BTCDOM</x:v>
      </x:c>
      <x:c r="C215" s="42" t="str">
        <x:v>新买入</x:v>
      </x:c>
      <x:c r="D215" s="51" t="n">
        <x:v>3853.9</x:v>
      </x:c>
      <x:c r="E215" s="51" t="n">
        <x:v>4300.5</x:v>
      </x:c>
      <x:c r="F215" s="24" t="n">
        <x:f>E215/D215-1</x:f>
        <x:v>0.11588261241858899</x:v>
      </x:c>
      <x:c r="G215" s="52" t="n">
        <x:v>45748.010416666664</x:v>
      </x:c>
      <x:c r="H215" s="42" t="str">
        <x:v>下次换仓边界（非必然全卖）</x:v>
      </x:c>
      <x:c r="I215" s="56" t="n">
        <x:v>0.1</x:v>
      </x:c>
      <x:c r="J215" s="57" t="n">
        <x:v>18.482687698816793</x:v>
      </x:c>
      <x:c r="K215" s="58" t="n">
        <x:f>J215*(E215-D215)</x:f>
        <x:v>8254.368326291578</x:v>
      </x:c>
    </x:row>
    <x:row r="216" ht="19.5" customHeight="1">
      <x:c r="A216" s="18" t="n">
        <x:v>45717</x:v>
      </x:c>
      <x:c r="B216" s="35" t="str">
        <x:v>S</x:v>
      </x:c>
      <x:c r="C216" s="35" t="str">
        <x:v>新买入</x:v>
      </x:c>
      <x:c r="D216" s="49" t="n">
        <x:v>0.673</x:v>
      </x:c>
      <x:c r="E216" s="49" t="n">
        <x:v>0.4844</x:v>
      </x:c>
      <x:c r="F216" s="19" t="n">
        <x:f>E216/D216-1</x:f>
        <x:v>-0.2802377414561664</x:v>
      </x:c>
      <x:c r="G216" s="50" t="n">
        <x:v>45748.010416666664</x:v>
      </x:c>
      <x:c r="H216" s="35" t="str">
        <x:v>下次换仓边界（非必然全卖）</x:v>
      </x:c>
      <x:c r="I216" s="53" t="n">
        <x:v>0.1</x:v>
      </x:c>
      <x:c r="J216" s="54" t="n">
        <x:v>105840.1636292274</x:v>
      </x:c>
      <x:c r="K216" s="55" t="n">
        <x:f>J216*(E216-D216)</x:f>
        <x:v>-19961.454860472295</x:v>
      </x:c>
    </x:row>
    <x:row r="217" ht="19.5" customHeight="1">
      <x:c r="A217" s="23" t="n">
        <x:v>45717</x:v>
      </x:c>
      <x:c r="B217" s="42" t="str">
        <x:v>TNSR</x:v>
      </x:c>
      <x:c r="C217" s="42" t="str">
        <x:v>新买入</x:v>
      </x:c>
      <x:c r="D217" s="51" t="n">
        <x:v>0.5094</x:v>
      </x:c>
      <x:c r="E217" s="51" t="n">
        <x:v>0.1631</x:v>
      </x:c>
      <x:c r="F217" s="24" t="n">
        <x:f>E217/D217-1</x:f>
        <x:v>-0.6798193953670986</x:v>
      </x:c>
      <x:c r="G217" s="52" t="n">
        <x:v>45748.010416666664</x:v>
      </x:c>
      <x:c r="H217" s="42" t="str">
        <x:v>下次换仓边界（非必然全卖）</x:v>
      </x:c>
      <x:c r="I217" s="56" t="n">
        <x:v>0.1</x:v>
      </x:c>
      <x:c r="J217" s="57" t="n">
        <x:v>139832.0183008835</x:v>
      </x:c>
      <x:c r="K217" s="58" t="n">
        <x:f>J217*(E217-D217)</x:f>
        <x:v>-48423.82793759595</x:v>
      </x:c>
    </x:row>
    <x:row r="218" ht="19.5" customHeight="1">
      <x:c r="A218" s="18" t="n">
        <x:v>45748</x:v>
      </x:c>
      <x:c r="B218" s="35" t="str">
        <x:v>1000CHEEMS</x:v>
      </x:c>
      <x:c r="C218" s="35" t="str">
        <x:v>新买入</x:v>
      </x:c>
      <x:c r="D218" s="49" t="n">
        <x:v>0.0016289</x:v>
      </x:c>
      <x:c r="E218" s="49" t="n">
        <x:v>0.0014539</x:v>
      </x:c>
      <x:c r="F218" s="19" t="n">
        <x:f>E218/D218-1</x:f>
        <x:v>-0.10743446497636444</x:v>
      </x:c>
      <x:c r="G218" s="50" t="n">
        <x:v>45778.010416666664</x:v>
      </x:c>
      <x:c r="H218" s="35" t="str">
        <x:v>下次换仓边界（非必然全卖）</x:v>
      </x:c>
      <x:c r="I218" s="53" t="n">
        <x:v>0.1</x:v>
      </x:c>
      <x:c r="J218" s="54" t="n">
        <x:v>38425362.932369135</x:v>
      </x:c>
      <x:c r="K218" s="55" t="n">
        <x:f>J218*(E218-D218)</x:f>
        <x:v>-6724.4385131645995</x:v>
      </x:c>
    </x:row>
    <x:row r="219" ht="19.5" customHeight="1">
      <x:c r="A219" s="23" t="n">
        <x:v>45748</x:v>
      </x:c>
      <x:c r="B219" s="42" t="str">
        <x:v>LAYER</x:v>
      </x:c>
      <x:c r="C219" s="42" t="str">
        <x:v>新买入</x:v>
      </x:c>
      <x:c r="D219" s="51" t="n">
        <x:v>1.4406</x:v>
      </x:c>
      <x:c r="E219" s="51" t="n">
        <x:v>3.0443</x:v>
      </x:c>
      <x:c r="F219" s="24" t="n">
        <x:f>E219/D219-1</x:f>
        <x:v>1.1132167152575314</x:v>
      </x:c>
      <x:c r="G219" s="52" t="n">
        <x:v>45778.010416666664</x:v>
      </x:c>
      <x:c r="H219" s="42" t="str">
        <x:v>下次换仓边界（非必然全卖）</x:v>
      </x:c>
      <x:c r="I219" s="56" t="n">
        <x:v>0.1</x:v>
      </x:c>
      <x:c r="J219" s="57" t="n">
        <x:v>43447.92008922399</x:v>
      </x:c>
      <x:c r="K219" s="58" t="n">
        <x:f>J219*(E219-D219)</x:f>
        <x:v>69677.42944708849</x:v>
      </x:c>
    </x:row>
    <x:row r="220" ht="19.5" customHeight="1">
      <x:c r="A220" s="18" t="n">
        <x:v>45748</x:v>
      </x:c>
      <x:c r="B220" s="35" t="str">
        <x:v>FARTCOIN</x:v>
      </x:c>
      <x:c r="C220" s="35" t="str">
        <x:v>新买入</x:v>
      </x:c>
      <x:c r="D220" s="49" t="n">
        <x:v>0.4529</x:v>
      </x:c>
      <x:c r="E220" s="49" t="n">
        <x:v>1.2418</x:v>
      </x:c>
      <x:c r="F220" s="19" t="n">
        <x:f>E220/D220-1</x:f>
        <x:v>1.7418856259659967</x:v>
      </x:c>
      <x:c r="G220" s="50" t="n">
        <x:v>45778.010416666664</x:v>
      </x:c>
      <x:c r="H220" s="35" t="str">
        <x:v>下次换仓边界（非必然全卖）</x:v>
      </x:c>
      <x:c r="I220" s="53" t="n">
        <x:v>0.1</x:v>
      </x:c>
      <x:c r="J220" s="54" t="n">
        <x:v>138200.64844454863</x:v>
      </x:c>
      <x:c r="K220" s="55" t="n">
        <x:f>J220*(E220-D220)</x:f>
        <x:v>109026.4915579044</x:v>
      </x:c>
    </x:row>
    <x:row r="221" ht="19.5" customHeight="1">
      <x:c r="A221" s="23" t="n">
        <x:v>45748</x:v>
      </x:c>
      <x:c r="B221" s="42" t="str">
        <x:v>API3</x:v>
      </x:c>
      <x:c r="C221" s="42" t="str">
        <x:v>新买入</x:v>
      </x:c>
      <x:c r="D221" s="51" t="n">
        <x:v>1.0937</x:v>
      </x:c>
      <x:c r="E221" s="51" t="n">
        <x:v>0.7828</x:v>
      </x:c>
      <x:c r="F221" s="24" t="n">
        <x:f>E221/D221-1</x:f>
        <x:v>-0.2842644235165035</x:v>
      </x:c>
      <x:c r="G221" s="52" t="n">
        <x:v>45778.010416666664</x:v>
      </x:c>
      <x:c r="H221" s="42" t="str">
        <x:v>下次换仓边界（非必然全卖）</x:v>
      </x:c>
      <x:c r="I221" s="56" t="n">
        <x:v>0.1</x:v>
      </x:c>
      <x:c r="J221" s="57" t="n">
        <x:v>57228.740678921175</x:v>
      </x:c>
      <x:c r="K221" s="58" t="n">
        <x:f>J221*(E221-D221)</x:f>
        <x:v>-17792.415477076585</x:v>
      </x:c>
    </x:row>
    <x:row r="222" ht="19.5" customHeight="1">
      <x:c r="A222" s="18" t="n">
        <x:v>45748</x:v>
      </x:c>
      <x:c r="B222" s="35" t="str">
        <x:v>1000X</x:v>
      </x:c>
      <x:c r="C222" s="35" t="str">
        <x:v>新买入</x:v>
      </x:c>
      <x:c r="D222" s="49" t="n">
        <x:v>0.08074</x:v>
      </x:c>
      <x:c r="E222" s="49" t="n">
        <x:v>0.07815</x:v>
      </x:c>
      <x:c r="F222" s="19" t="n">
        <x:f>E222/D222-1</x:f>
        <x:v>-0.03207827594748591</x:v>
      </x:c>
      <x:c r="G222" s="50" t="n">
        <x:v>45778.010416666664</x:v>
      </x:c>
      <x:c r="H222" s="35" t="str">
        <x:v>下次换仓边界（非必然全卖）</x:v>
      </x:c>
      <x:c r="I222" s="53" t="n">
        <x:v>0.1</x:v>
      </x:c>
      <x:c r="J222" s="54" t="n">
        <x:v>775217.6576732236</x:v>
      </x:c>
      <x:c r="K222" s="55" t="n">
        <x:f>J222*(E222-D222)</x:f>
        <x:v>-2007.813733373656</x:v>
      </x:c>
    </x:row>
    <x:row r="223" ht="19.5" customHeight="1">
      <x:c r="A223" s="23" t="n">
        <x:v>45748</x:v>
      </x:c>
      <x:c r="B223" s="42" t="str">
        <x:v>ALCH</x:v>
      </x:c>
      <x:c r="C223" s="42" t="str">
        <x:v>新买入</x:v>
      </x:c>
      <x:c r="D223" s="51" t="n">
        <x:v>0.06463</x:v>
      </x:c>
      <x:c r="E223" s="51" t="n">
        <x:v>0.15965</x:v>
      </x:c>
      <x:c r="F223" s="24" t="n">
        <x:f>E223/D223-1</x:f>
        <x:v>1.4702150704007422</x:v>
      </x:c>
      <x:c r="G223" s="52" t="n">
        <x:v>45778.010416666664</x:v>
      </x:c>
      <x:c r="H223" s="42" t="str">
        <x:v>下次换仓边界（非必然全卖）</x:v>
      </x:c>
      <x:c r="I223" s="56" t="n">
        <x:v>0.1</x:v>
      </x:c>
      <x:c r="J223" s="57" t="n">
        <x:v>968452.323696984</x:v>
      </x:c>
      <x:c r="K223" s="58" t="n">
        <x:f>J223*(E223-D223)</x:f>
        <x:v>92022.3397976874</x:v>
      </x:c>
    </x:row>
    <x:row r="224" ht="19.5" customHeight="1">
      <x:c r="A224" s="18" t="n">
        <x:v>45748</x:v>
      </x:c>
      <x:c r="B224" s="35" t="str">
        <x:v>VIDT</x:v>
      </x:c>
      <x:c r="C224" s="35" t="str">
        <x:v>新买入</x:v>
      </x:c>
      <x:c r="D224" s="49" t="n">
        <x:v>0.0246</x:v>
      </x:c>
      <x:c r="E224" s="49" t="n">
        <x:v>0.0029340346666666666</x:v>
      </x:c>
      <x:c r="F224" s="19" t="n">
        <x:f>E224/D224-1</x:f>
        <x:v>-0.880730298102981</x:v>
      </x:c>
      <x:c r="G224" s="50" t="n">
        <x:v>45761.375</x:v>
      </x:c>
      <x:c r="H224" s="35" t="str">
        <x:v>下架自动结算（估算）</x:v>
      </x:c>
      <x:c r="I224" s="53" t="n">
        <x:v>0.1</x:v>
      </x:c>
      <x:c r="J224" s="54" t="n">
        <x:v>2544352.588639678</x:v>
      </x:c>
      <x:c r="K224" s="55" t="n">
        <x:f>J224*(E224-D224)</x:f>
        <x:v>-55125.85498124419</x:v>
      </x:c>
    </x:row>
    <x:row r="225" ht="19.5" customHeight="1">
      <x:c r="A225" s="23" t="n">
        <x:v>45748</x:v>
      </x:c>
      <x:c r="B225" s="42" t="str">
        <x:v>TON</x:v>
      </x:c>
      <x:c r="C225" s="42" t="str">
        <x:v>新买入</x:v>
      </x:c>
      <x:c r="D225" s="51" t="n">
        <x:v>4.1171</x:v>
      </x:c>
      <x:c r="E225" s="51" t="n">
        <x:v>3.1573</x:v>
      </x:c>
      <x:c r="F225" s="24" t="n">
        <x:f>E225/D225-1</x:f>
        <x:v>-0.23312525807000062</x:v>
      </x:c>
      <x:c r="G225" s="52" t="n">
        <x:v>45778.010416666664</x:v>
      </x:c>
      <x:c r="H225" s="42" t="str">
        <x:v>下次换仓边界（非必然全卖）</x:v>
      </x:c>
      <x:c r="I225" s="56" t="n">
        <x:v>0.1</x:v>
      </x:c>
      <x:c r="J225" s="57" t="n">
        <x:v>15202.70911091207</x:v>
      </x:c>
      <x:c r="K225" s="58" t="n">
        <x:f>J225*(E225-D225)</x:f>
        <x:v>-14591.560204653399</x:v>
      </x:c>
    </x:row>
    <x:row r="226" ht="19.5" customHeight="1">
      <x:c r="A226" s="18" t="n">
        <x:v>45748</x:v>
      </x:c>
      <x:c r="B226" s="35" t="str">
        <x:v>ORCA</x:v>
      </x:c>
      <x:c r="C226" s="35" t="str">
        <x:v>新买入</x:v>
      </x:c>
      <x:c r="D226" s="49" t="n">
        <x:v>2.189</x:v>
      </x:c>
      <x:c r="E226" s="49" t="n">
        <x:v>2.751</x:v>
      </x:c>
      <x:c r="F226" s="19" t="n">
        <x:f>E226/D226-1</x:f>
        <x:v>0.256738236637734</x:v>
      </x:c>
      <x:c r="G226" s="50" t="n">
        <x:v>45778.010416666664</x:v>
      </x:c>
      <x:c r="H226" s="35" t="str">
        <x:v>下次换仓边界（非必然全卖）</x:v>
      </x:c>
      <x:c r="I226" s="53" t="n">
        <x:v>0.1</x:v>
      </x:c>
      <x:c r="J226" s="54" t="n">
        <x:v>28593.455313173174</x:v>
      </x:c>
      <x:c r="K226" s="55" t="n">
        <x:f>J226*(E226-D226)</x:f>
        <x:v>16069.521886003318</x:v>
      </x:c>
    </x:row>
    <x:row r="227" ht="19.5" customHeight="1">
      <x:c r="A227" s="23" t="n">
        <x:v>45748</x:v>
      </x:c>
      <x:c r="B227" s="42" t="str">
        <x:v>DEGO</x:v>
      </x:c>
      <x:c r="C227" s="42" t="str">
        <x:v>新买入</x:v>
      </x:c>
      <x:c r="D227" s="51" t="n">
        <x:v>1.7996</x:v>
      </x:c>
      <x:c r="E227" s="51" t="n">
        <x:v>1.9393</x:v>
      </x:c>
      <x:c r="F227" s="24" t="n">
        <x:f>E227/D227-1</x:f>
        <x:v>0.07762836185819078</x:v>
      </x:c>
      <x:c r="G227" s="52" t="n">
        <x:v>45778.010416666664</x:v>
      </x:c>
      <x:c r="H227" s="42" t="str">
        <x:v>下次换仓边界（非必然全卖）</x:v>
      </x:c>
      <x:c r="I227" s="56" t="n">
        <x:v>0.1</x:v>
      </x:c>
      <x:c r="J227" s="57" t="n">
        <x:v>34780.54772201382</x:v>
      </x:c>
      <x:c r="K227" s="58" t="n">
        <x:f>J227*(E227-D227)</x:f>
        <x:v>4858.842516765329</x:v>
      </x:c>
    </x:row>
    <x:row r="228" ht="19.5" customHeight="1">
      <x:c r="A228" s="18" t="n">
        <x:v>45778</x:v>
      </x:c>
      <x:c r="B228" s="35" t="str">
        <x:v>BROCCOLIF3B</x:v>
      </x:c>
      <x:c r="C228" s="35" t="str">
        <x:v>新买入</x:v>
      </x:c>
      <x:c r="D228" s="49" t="n">
        <x:v>0.038003</x:v>
      </x:c>
      <x:c r="E228" s="49" t="n">
        <x:v>0.010552</x:v>
      </x:c>
      <x:c r="F228" s="19" t="n">
        <x:f>E228/D228-1</x:f>
        <x:v>-0.7223377101807752</x:v>
      </x:c>
      <x:c r="G228" s="50" t="n">
        <x:v>45809.010416666664</x:v>
      </x:c>
      <x:c r="H228" s="35" t="str">
        <x:v>下次换仓边界（非必然全卖）</x:v>
      </x:c>
      <x:c r="I228" s="53" t="n">
        <x:v>0.1</x:v>
      </x:c>
      <x:c r="J228" s="54" t="n">
        <x:v>2156980.6880255444</x:v>
      </x:c>
      <x:c r="K228" s="55" t="n">
        <x:f>J228*(E228-D228)</x:f>
        <x:v>-59211.276866989225</x:v>
      </x:c>
    </x:row>
    <x:row r="229" ht="19.5" customHeight="1">
      <x:c r="A229" s="23" t="n">
        <x:v>45778</x:v>
      </x:c>
      <x:c r="B229" s="42" t="str">
        <x:v>FARTCOIN</x:v>
      </x:c>
      <x:c r="C229" s="42" t="str">
        <x:v>续持调仓</x:v>
      </x:c>
      <x:c r="D229" s="51" t="n">
        <x:v>1.2418</x:v>
      </x:c>
      <x:c r="E229" s="51" t="n">
        <x:v>1.0729</x:v>
      </x:c>
      <x:c r="F229" s="24" t="n">
        <x:f>E229/D229-1</x:f>
        <x:v>-0.13601224029634407</x:v>
      </x:c>
      <x:c r="G229" s="52" t="n">
        <x:v>45809.010416666664</x:v>
      </x:c>
      <x:c r="H229" s="42" t="str">
        <x:v>下次换仓边界（非必然全卖）</x:v>
      </x:c>
      <x:c r="I229" s="56" t="n">
        <x:v>0.1</x:v>
      </x:c>
      <x:c r="J229" s="57" t="n">
        <x:v>66010.41801178512</x:v>
      </x:c>
      <x:c r="K229" s="58" t="n">
        <x:f>J229*(E229-D229)</x:f>
        <x:v>-11149.15960219051</x:v>
      </x:c>
    </x:row>
    <x:row r="230" ht="19.5" customHeight="1">
      <x:c r="A230" s="18" t="n">
        <x:v>45778</x:v>
      </x:c>
      <x:c r="B230" s="35" t="str">
        <x:v>VIRTUAL</x:v>
      </x:c>
      <x:c r="C230" s="35" t="str">
        <x:v>新买入</x:v>
      </x:c>
      <x:c r="D230" s="49" t="n">
        <x:v>1.5307</x:v>
      </x:c>
      <x:c r="E230" s="49" t="n">
        <x:v>1.9834</x:v>
      </x:c>
      <x:c r="F230" s="19" t="n">
        <x:f>E230/D230-1</x:f>
        <x:v>0.2957470438361536</x:v>
      </x:c>
      <x:c r="G230" s="50" t="n">
        <x:v>45809.010416666664</x:v>
      </x:c>
      <x:c r="H230" s="35" t="str">
        <x:v>下次换仓边界（非必然全卖）</x:v>
      </x:c>
      <x:c r="I230" s="53" t="n">
        <x:v>0.1</x:v>
      </x:c>
      <x:c r="J230" s="54" t="n">
        <x:v>53551.797927114894</x:v>
      </x:c>
      <x:c r="K230" s="55" t="n">
        <x:f>J230*(E230-D230)</x:f>
        <x:v>24242.89892160492</x:v>
      </x:c>
    </x:row>
    <x:row r="231" ht="19.5" customHeight="1">
      <x:c r="A231" s="23" t="n">
        <x:v>45778</x:v>
      </x:c>
      <x:c r="B231" s="42" t="str">
        <x:v>LAYER</x:v>
      </x:c>
      <x:c r="C231" s="42" t="str">
        <x:v>续持调仓</x:v>
      </x:c>
      <x:c r="D231" s="51" t="n">
        <x:v>3.0443</x:v>
      </x:c>
      <x:c r="E231" s="51" t="n">
        <x:v>0.7735</x:v>
      </x:c>
      <x:c r="F231" s="24" t="n">
        <x:f>E231/D231-1</x:f>
        <x:v>-0.7459186019774661</x:v>
      </x:c>
      <x:c r="G231" s="52" t="n">
        <x:v>45809.010416666664</x:v>
      </x:c>
      <x:c r="H231" s="42" t="str">
        <x:v>下次换仓边界（非必然全卖）</x:v>
      </x:c>
      <x:c r="I231" s="56" t="n">
        <x:v>0.1</x:v>
      </x:c>
      <x:c r="J231" s="57" t="n">
        <x:v>26926.30065599145</x:v>
      </x:c>
      <x:c r="K231" s="58" t="n">
        <x:f>J231*(E231-D231)</x:f>
        <x:v>-61144.24352962538</x:v>
      </x:c>
    </x:row>
    <x:row r="232" ht="19.5" customHeight="1">
      <x:c r="A232" s="18" t="n">
        <x:v>45778</x:v>
      </x:c>
      <x:c r="B232" s="35" t="str">
        <x:v>ALCH</x:v>
      </x:c>
      <x:c r="C232" s="35" t="str">
        <x:v>续持调仓</x:v>
      </x:c>
      <x:c r="D232" s="49" t="n">
        <x:v>0.15965</x:v>
      </x:c>
      <x:c r="E232" s="49" t="n">
        <x:v>0.13192</x:v>
      </x:c>
      <x:c r="F232" s="19" t="n">
        <x:f>E232/D232-1</x:f>
        <x:v>-0.17369245223927332</x:v>
      </x:c>
      <x:c r="G232" s="50" t="n">
        <x:v>45809.010416666664</x:v>
      </x:c>
      <x:c r="H232" s="35" t="str">
        <x:v>下次换仓边界（非必然全卖）</x:v>
      </x:c>
      <x:c r="I232" s="53" t="n">
        <x:v>0.1</x:v>
      </x:c>
      <x:c r="J232" s="54" t="n">
        <x:v>513446.5210587834</x:v>
      </x:c>
      <x:c r="K232" s="55" t="n">
        <x:f>J232*(E232-D232)</x:f>
        <x:v>-14237.872028960051</x:v>
      </x:c>
    </x:row>
    <x:row r="233" ht="19.5" customHeight="1">
      <x:c r="A233" s="23" t="n">
        <x:v>45778</x:v>
      </x:c>
      <x:c r="B233" s="42" t="str">
        <x:v>NEIROETH</x:v>
      </x:c>
      <x:c r="C233" s="42" t="str">
        <x:v>新买入</x:v>
      </x:c>
      <x:c r="D233" s="51" t="n">
        <x:v>0.06553</x:v>
      </x:c>
      <x:c r="E233" s="51" t="n">
        <x:v>0.07461</x:v>
      </x:c>
      <x:c r="F233" s="24" t="n">
        <x:f>E233/D233-1</x:f>
        <x:v>0.13856249046238345</x:v>
      </x:c>
      <x:c r="G233" s="52" t="n">
        <x:v>45809.010416666664</x:v>
      </x:c>
      <x:c r="H233" s="42" t="str">
        <x:v>下次换仓边界（非必然全卖）</x:v>
      </x:c>
      <x:c r="I233" s="56" t="n">
        <x:v>0.1</x:v>
      </x:c>
      <x:c r="J233" s="57" t="n">
        <x:v>1250903.968976572</x:v>
      </x:c>
      <x:c r="K233" s="58" t="n">
        <x:f>J233*(E233-D233)</x:f>
        <x:v>11358.20803830726</x:v>
      </x:c>
    </x:row>
    <x:row r="234" ht="19.5" customHeight="1">
      <x:c r="A234" s="18" t="n">
        <x:v>45778</x:v>
      </x:c>
      <x:c r="B234" s="35" t="str">
        <x:v>TURBO</x:v>
      </x:c>
      <x:c r="C234" s="35" t="str">
        <x:v>新买入</x:v>
      </x:c>
      <x:c r="D234" s="49" t="n">
        <x:v>0.0045073</x:v>
      </x:c>
      <x:c r="E234" s="49" t="n">
        <x:v>0.004272</x:v>
      </x:c>
      <x:c r="F234" s="19" t="n">
        <x:f>E234/D234-1</x:f>
        <x:v>-0.052204202072194006</x:v>
      </x:c>
      <x:c r="G234" s="50" t="n">
        <x:v>45809.010416666664</x:v>
      </x:c>
      <x:c r="H234" s="35" t="str">
        <x:v>下次换仓边界（非必然全卖）</x:v>
      </x:c>
      <x:c r="I234" s="53" t="n">
        <x:v>0.1</x:v>
      </x:c>
      <x:c r="J234" s="54" t="n">
        <x:v>18186439.129198138</x:v>
      </x:c>
      <x:c r="K234" s="55" t="n">
        <x:f>J234*(E234-D234)</x:f>
        <x:v>-4279.2691271003205</x:v>
      </x:c>
    </x:row>
    <x:row r="235" ht="19.5" customHeight="1">
      <x:c r="A235" s="23" t="n">
        <x:v>45778</x:v>
      </x:c>
      <x:c r="B235" s="42" t="str">
        <x:v>JELLYJELLY</x:v>
      </x:c>
      <x:c r="C235" s="42" t="str">
        <x:v>新买入</x:v>
      </x:c>
      <x:c r="D235" s="51" t="n">
        <x:v>0.03575</x:v>
      </x:c>
      <x:c r="E235" s="51" t="n">
        <x:v>0.02666</x:v>
      </x:c>
      <x:c r="F235" s="24" t="n">
        <x:f>E235/D235-1</x:f>
        <x:v>-0.2542657342657342</x:v>
      </x:c>
      <x:c r="G235" s="52" t="n">
        <x:v>45809.010416666664</x:v>
      </x:c>
      <x:c r="H235" s="42" t="str">
        <x:v>下次换仓边界（非必然全卖）</x:v>
      </x:c>
      <x:c r="I235" s="56" t="n">
        <x:v>0.1</x:v>
      </x:c>
      <x:c r="J235" s="57" t="n">
        <x:v>2292915.7227142593</x:v>
      </x:c>
      <x:c r="K235" s="58" t="n">
        <x:f>J235*(E235-D235)</x:f>
        <x:v>-20842.60391947261</x:v>
      </x:c>
    </x:row>
    <x:row r="236" ht="19.5" customHeight="1">
      <x:c r="A236" s="18" t="n">
        <x:v>45778</x:v>
      </x:c>
      <x:c r="B236" s="35" t="str">
        <x:v>SIREN</x:v>
      </x:c>
      <x:c r="C236" s="35" t="str">
        <x:v>新买入</x:v>
      </x:c>
      <x:c r="D236" s="49" t="n">
        <x:v>0.08546</x:v>
      </x:c>
      <x:c r="E236" s="49" t="n">
        <x:v>0.15113</x:v>
      </x:c>
      <x:c r="F236" s="19" t="n">
        <x:f>E236/D236-1</x:f>
        <x:v>0.7684296747016148</x:v>
      </x:c>
      <x:c r="G236" s="50" t="n">
        <x:v>45809.010416666664</x:v>
      </x:c>
      <x:c r="H236" s="35" t="str">
        <x:v>下次换仓边界（非必然全卖）</x:v>
      </x:c>
      <x:c r="I236" s="53" t="n">
        <x:v>0.1</x:v>
      </x:c>
      <x:c r="J236" s="54" t="n">
        <x:v>959182.5074541864</x:v>
      </x:c>
      <x:c r="K236" s="55" t="n">
        <x:f>J236*(E236-D236)</x:f>
        <x:v>62989.51526451642</x:v>
      </x:c>
    </x:row>
    <x:row r="237" ht="19.5" customHeight="1">
      <x:c r="A237" s="23" t="n">
        <x:v>45778</x:v>
      </x:c>
      <x:c r="B237" s="42" t="str">
        <x:v>POPCAT</x:v>
      </x:c>
      <x:c r="C237" s="42" t="str">
        <x:v>新买入</x:v>
      </x:c>
      <x:c r="D237" s="51" t="n">
        <x:v>0.3992</x:v>
      </x:c>
      <x:c r="E237" s="51" t="n">
        <x:v>0.3644</x:v>
      </x:c>
      <x:c r="F237" s="24" t="n">
        <x:f>E237/D237-1</x:f>
        <x:v>-0.08717434869739482</x:v>
      </x:c>
      <x:c r="G237" s="52" t="n">
        <x:v>45809.010416666664</x:v>
      </x:c>
      <x:c r="H237" s="42" t="str">
        <x:v>下次换仓边界（非必然全卖）</x:v>
      </x:c>
      <x:c r="I237" s="56" t="n">
        <x:v>0.1</x:v>
      </x:c>
      <x:c r="J237" s="57" t="n">
        <x:v>205340.02276311314</x:v>
      </x:c>
      <x:c r="K237" s="58" t="n">
        <x:f>J237*(E237-D237)</x:f>
        <x:v>-7145.832792156337</x:v>
      </x:c>
    </x:row>
    <x:row r="238" ht="19.5" customHeight="1">
      <x:c r="A238" s="18" t="n">
        <x:v>45809</x:v>
      </x:c>
      <x:c r="B238" s="35" t="str">
        <x:v>MOODENG</x:v>
      </x:c>
      <x:c r="C238" s="35" t="str">
        <x:v>新买入</x:v>
      </x:c>
      <x:c r="D238" s="49" t="n">
        <x:v>0.20072</x:v>
      </x:c>
      <x:c r="E238" s="49" t="n">
        <x:v>0.14738</x:v>
      </x:c>
      <x:c r="F238" s="19" t="n">
        <x:f>E238/D238-1</x:f>
        <x:v>-0.26574332403347944</x:v>
      </x:c>
      <x:c r="G238" s="50" t="n">
        <x:v>45839.010416666664</x:v>
      </x:c>
      <x:c r="H238" s="35" t="str">
        <x:v>下次换仓边界（非必然全卖）</x:v>
      </x:c>
      <x:c r="I238" s="53" t="n">
        <x:v>0.1</x:v>
      </x:c>
      <x:c r="J238" s="54" t="n">
        <x:v>367892.7222072071</x:v>
      </x:c>
      <x:c r="K238" s="55" t="n">
        <x:f>J238*(E238-D238)</x:f>
        <x:v>-19623.39780253243</x:v>
      </x:c>
    </x:row>
    <x:row r="239" ht="19.5" customHeight="1">
      <x:c r="A239" s="23" t="n">
        <x:v>45809</x:v>
      </x:c>
      <x:c r="B239" s="42" t="str">
        <x:v>KAITO</x:v>
      </x:c>
      <x:c r="C239" s="42" t="str">
        <x:v>新买入</x:v>
      </x:c>
      <x:c r="D239" s="51" t="n">
        <x:v>1.9401</x:v>
      </x:c>
      <x:c r="E239" s="51" t="n">
        <x:v>1.5934</x:v>
      </x:c>
      <x:c r="F239" s="24" t="n">
        <x:f>E239/D239-1</x:f>
        <x:v>-0.1787021287562497</x:v>
      </x:c>
      <x:c r="G239" s="52" t="n">
        <x:v>45839.010416666664</x:v>
      </x:c>
      <x:c r="H239" s="42" t="str">
        <x:v>下次换仓边界（非必然全卖）</x:v>
      </x:c>
      <x:c r="I239" s="56" t="n">
        <x:v>0.1</x:v>
      </x:c>
      <x:c r="J239" s="57" t="n">
        <x:v>38061.660327524674</x:v>
      </x:c>
      <x:c r="K239" s="58" t="n">
        <x:f>J239*(E239-D239)</x:f>
        <x:v>-13195.977635552805</x:v>
      </x:c>
    </x:row>
    <x:row r="240" ht="19.5" customHeight="1">
      <x:c r="A240" s="18" t="n">
        <x:v>45809</x:v>
      </x:c>
      <x:c r="B240" s="35" t="str">
        <x:v>ETHFI</x:v>
      </x:c>
      <x:c r="C240" s="35" t="str">
        <x:v>新买入</x:v>
      </x:c>
      <x:c r="D240" s="49" t="n">
        <x:v>1.1294</x:v>
      </x:c>
      <x:c r="E240" s="49" t="n">
        <x:v>0.9691</x:v>
      </x:c>
      <x:c r="F240" s="19" t="n">
        <x:f>E240/D240-1</x:f>
        <x:v>-0.141933770143439</x:v>
      </x:c>
      <x:c r="G240" s="50" t="n">
        <x:v>45839.010416666664</x:v>
      </x:c>
      <x:c r="H240" s="35" t="str">
        <x:v>下次换仓边界（非必然全卖）</x:v>
      </x:c>
      <x:c r="I240" s="53" t="n">
        <x:v>0.1</x:v>
      </x:c>
      <x:c r="J240" s="54" t="n">
        <x:v>65382.88223962336</x:v>
      </x:c>
      <x:c r="K240" s="55" t="n">
        <x:f>J240*(E240-D240)</x:f>
        <x:v>-10480.876023011624</x:v>
      </x:c>
    </x:row>
    <x:row r="241" ht="19.5" customHeight="1">
      <x:c r="A241" s="23" t="n">
        <x:v>45809</x:v>
      </x:c>
      <x:c r="B241" s="42" t="str">
        <x:v>LPT</x:v>
      </x:c>
      <x:c r="C241" s="42" t="str">
        <x:v>新买入</x:v>
      </x:c>
      <x:c r="D241" s="51" t="n">
        <x:v>9.278</x:v>
      </x:c>
      <x:c r="E241" s="51" t="n">
        <x:v>6.211</x:v>
      </x:c>
      <x:c r="F241" s="24" t="n">
        <x:f>E241/D241-1</x:f>
        <x:v>-0.3305669325285622</x:v>
      </x:c>
      <x:c r="G241" s="52" t="n">
        <x:v>45839.010416666664</x:v>
      </x:c>
      <x:c r="H241" s="42" t="str">
        <x:v>下次换仓边界（非必然全卖）</x:v>
      </x:c>
      <x:c r="I241" s="56" t="n">
        <x:v>0.1</x:v>
      </x:c>
      <x:c r="J241" s="57" t="n">
        <x:v>7958.9811598868955</x:v>
      </x:c>
      <x:c r="K241" s="58" t="n">
        <x:f>J241*(E241-D241)</x:f>
        <x:v>-24410.19521737311</x:v>
      </x:c>
    </x:row>
    <x:row r="242" ht="19.5" customHeight="1">
      <x:c r="A242" s="18" t="n">
        <x:v>45809</x:v>
      </x:c>
      <x:c r="B242" s="35" t="str">
        <x:v>NEIRO</x:v>
      </x:c>
      <x:c r="C242" s="35" t="str">
        <x:v>新买入</x:v>
      </x:c>
      <x:c r="D242" s="49" t="n">
        <x:v>0.0004493</x:v>
      </x:c>
      <x:c r="E242" s="49" t="n">
        <x:v>0.0003882</x:v>
      </x:c>
      <x:c r="F242" s="19" t="n">
        <x:f>E242/D242-1</x:f>
        <x:v>-0.1359893167148899</x:v>
      </x:c>
      <x:c r="G242" s="50" t="n">
        <x:v>45839.010416666664</x:v>
      </x:c>
      <x:c r="H242" s="35" t="str">
        <x:v>下次换仓边界（非必然全卖）</x:v>
      </x:c>
      <x:c r="I242" s="53" t="n">
        <x:v>0.1</x:v>
      </x:c>
      <x:c r="J242" s="54" t="n">
        <x:v>164352163.81355578</x:v>
      </x:c>
      <x:c r="K242" s="55" t="n">
        <x:f>J242*(E242-D242)</x:f>
        <x:v>-10041.917209008261</x:v>
      </x:c>
    </x:row>
    <x:row r="243" ht="19.5" customHeight="1">
      <x:c r="A243" s="23" t="n">
        <x:v>45809</x:v>
      </x:c>
      <x:c r="B243" s="42" t="str">
        <x:v>CHILLGUY</x:v>
      </x:c>
      <x:c r="C243" s="42" t="str">
        <x:v>新买入</x:v>
      </x:c>
      <x:c r="D243" s="51" t="n">
        <x:v>0.06846</x:v>
      </x:c>
      <x:c r="E243" s="51" t="n">
        <x:v>0.0521</x:v>
      </x:c>
      <x:c r="F243" s="24" t="n">
        <x:f>E243/D243-1</x:f>
        <x:v>-0.23897166228454558</x:v>
      </x:c>
      <x:c r="G243" s="52" t="n">
        <x:v>45839.010416666664</x:v>
      </x:c>
      <x:c r="H243" s="42" t="str">
        <x:v>下次换仓边界（非必然全卖）</x:v>
      </x:c>
      <x:c r="I243" s="56" t="n">
        <x:v>0.1</x:v>
      </x:c>
      <x:c r="J243" s="57" t="n">
        <x:v>1078636.097011841</x:v>
      </x:c>
      <x:c r="K243" s="58" t="n">
        <x:f>J243*(E243-D243)</x:f>
        <x:v>-17646.48654711371</x:v>
      </x:c>
    </x:row>
    <x:row r="244" ht="19.5" customHeight="1">
      <x:c r="A244" s="18" t="n">
        <x:v>45809</x:v>
      </x:c>
      <x:c r="B244" s="35" t="str">
        <x:v>SPX</x:v>
      </x:c>
      <x:c r="C244" s="35" t="str">
        <x:v>新买入</x:v>
      </x:c>
      <x:c r="D244" s="49" t="n">
        <x:v>0.9872</x:v>
      </x:c>
      <x:c r="E244" s="49" t="n">
        <x:v>1.2147</x:v>
      </x:c>
      <x:c r="F244" s="19" t="n">
        <x:f>E244/D244-1</x:f>
        <x:v>0.2304497568881685</x:v>
      </x:c>
      <x:c r="G244" s="50" t="n">
        <x:v>45839.010416666664</x:v>
      </x:c>
      <x:c r="H244" s="35" t="str">
        <x:v>下次换仓边界（非必然全卖）</x:v>
      </x:c>
      <x:c r="I244" s="53" t="n">
        <x:v>0.1</x:v>
      </x:c>
      <x:c r="J244" s="54" t="n">
        <x:v>74800.87844553345</x:v>
      </x:c>
      <x:c r="K244" s="55" t="n">
        <x:f>J244*(E244-D244)</x:f>
        <x:v>17017.199846358853</x:v>
      </x:c>
    </x:row>
    <x:row r="245" ht="19.5" customHeight="1">
      <x:c r="A245" s="23" t="n">
        <x:v>45809</x:v>
      </x:c>
      <x:c r="B245" s="42" t="str">
        <x:v>SIREN</x:v>
      </x:c>
      <x:c r="C245" s="42" t="str">
        <x:v>续持调仓</x:v>
      </x:c>
      <x:c r="D245" s="51" t="n">
        <x:v>0.15113</x:v>
      </x:c>
      <x:c r="E245" s="51" t="n">
        <x:v>0.05213</x:v>
      </x:c>
      <x:c r="F245" s="24" t="n">
        <x:f>E245/D245-1</x:f>
        <x:v>-0.6550651756765697</x:v>
      </x:c>
      <x:c r="G245" s="52" t="n">
        <x:v>45839.010416666664</x:v>
      </x:c>
      <x:c r="H245" s="42" t="str">
        <x:v>下次换仓边界（非必然全卖）</x:v>
      </x:c>
      <x:c r="I245" s="56" t="n">
        <x:v>0.1</x:v>
      </x:c>
      <x:c r="J245" s="57" t="n">
        <x:v>488608.66275015305</x:v>
      </x:c>
      <x:c r="K245" s="58" t="n">
        <x:f>J245*(E245-D245)</x:f>
        <x:v>-48372.25761226514</x:v>
      </x:c>
    </x:row>
    <x:row r="246" ht="19.5" customHeight="1">
      <x:c r="A246" s="18" t="n">
        <x:v>45809</x:v>
      </x:c>
      <x:c r="B246" s="35" t="str">
        <x:v>MASK</x:v>
      </x:c>
      <x:c r="C246" s="35" t="str">
        <x:v>新买入</x:v>
      </x:c>
      <x:c r="D246" s="49" t="n">
        <x:v>2.0457</x:v>
      </x:c>
      <x:c r="E246" s="49" t="n">
        <x:v>1.204</x:v>
      </x:c>
      <x:c r="F246" s="19" t="n">
        <x:f>E246/D246-1</x:f>
        <x:v>-0.4114484039693015</x:v>
      </x:c>
      <x:c r="G246" s="50" t="n">
        <x:v>45839.010416666664</x:v>
      </x:c>
      <x:c r="H246" s="35" t="str">
        <x:v>下次换仓边界（非必然全卖）</x:v>
      </x:c>
      <x:c r="I246" s="53" t="n">
        <x:v>0.1</x:v>
      </x:c>
      <x:c r="J246" s="54" t="n">
        <x:v>36096.89944832117</x:v>
      </x:c>
      <x:c r="K246" s="55" t="n">
        <x:f>J246*(E246-D246)</x:f>
        <x:v>-30382.760265651934</x:v>
      </x:c>
    </x:row>
    <x:row r="247" ht="19.5" customHeight="1">
      <x:c r="A247" s="23" t="n">
        <x:v>45809</x:v>
      </x:c>
      <x:c r="B247" s="42" t="str">
        <x:v>BANK</x:v>
      </x:c>
      <x:c r="C247" s="42" t="str">
        <x:v>新买入</x:v>
      </x:c>
      <x:c r="D247" s="51" t="n">
        <x:v>0.062205</x:v>
      </x:c>
      <x:c r="E247" s="51" t="n">
        <x:v>0.056932</x:v>
      </x:c>
      <x:c r="F247" s="24" t="n">
        <x:f>E247/D247-1</x:f>
        <x:v>-0.08476810545776059</x:v>
      </x:c>
      <x:c r="G247" s="52" t="n">
        <x:v>45839.010416666664</x:v>
      </x:c>
      <x:c r="H247" s="42" t="str">
        <x:v>下次换仓边界（非必然全卖）</x:v>
      </x:c>
      <x:c r="I247" s="56" t="n">
        <x:v>0.1</x:v>
      </x:c>
      <x:c r="J247" s="57" t="n">
        <x:v>1187097.9374878325</x:v>
      </x:c>
      <x:c r="K247" s="58" t="n">
        <x:f>J247*(E247-D247)</x:f>
        <x:v>-6259.567424373341</x:v>
      </x:c>
    </x:row>
    <x:row r="248" ht="19.5" customHeight="1">
      <x:c r="A248" s="18" t="n">
        <x:v>45839</x:v>
      </x:c>
      <x:c r="B248" s="35" t="str">
        <x:v>BID</x:v>
      </x:c>
      <x:c r="C248" s="35" t="str">
        <x:v>新买入</x:v>
      </x:c>
      <x:c r="D248" s="49" t="n">
        <x:v>0.14298</x:v>
      </x:c>
      <x:c r="E248" s="49" t="n">
        <x:v>0.06598</x:v>
      </x:c>
      <x:c r="F248" s="19" t="n">
        <x:f>E248/D248-1</x:f>
        <x:v>-0.5385368583018604</x:v>
      </x:c>
      <x:c r="G248" s="50" t="n">
        <x:v>45870.010416666664</x:v>
      </x:c>
      <x:c r="H248" s="35" t="str">
        <x:v>下次换仓边界（非必然全卖）</x:v>
      </x:c>
      <x:c r="I248" s="53" t="n">
        <x:v>0.1</x:v>
      </x:c>
      <x:c r="J248" s="54" t="n">
        <x:v>401056.21808668424</x:v>
      </x:c>
      <x:c r="K248" s="55" t="n">
        <x:f>J248*(E248-D248)</x:f>
        <x:v>-30881.328792674685</x:v>
      </x:c>
    </x:row>
    <x:row r="249" ht="19.5" customHeight="1">
      <x:c r="A249" s="23" t="n">
        <x:v>45839</x:v>
      </x:c>
      <x:c r="B249" s="42" t="str">
        <x:v>FUN</x:v>
      </x:c>
      <x:c r="C249" s="42" t="str">
        <x:v>新买入</x:v>
      </x:c>
      <x:c r="D249" s="51" t="n">
        <x:v>0.009973</x:v>
      </x:c>
      <x:c r="E249" s="51" t="n">
        <x:v>0.010896</x:v>
      </x:c>
      <x:c r="F249" s="24" t="n">
        <x:f>E249/D249-1</x:f>
        <x:v>0.09254988468865943</x:v>
      </x:c>
      <x:c r="G249" s="52" t="n">
        <x:v>45870.010416666664</x:v>
      </x:c>
      <x:c r="H249" s="42" t="str">
        <x:v>下次换仓边界（非必然全卖）</x:v>
      </x:c>
      <x:c r="I249" s="56" t="n">
        <x:v>0.1</x:v>
      </x:c>
      <x:c r="J249" s="57" t="n">
        <x:v>5749826.33731416</x:v>
      </x:c>
      <x:c r="K249" s="58" t="n">
        <x:f>J249*(E249-D249)</x:f>
        <x:v>5307.08970934097</x:v>
      </x:c>
    </x:row>
    <x:row r="250" ht="19.5" customHeight="1">
      <x:c r="A250" s="18" t="n">
        <x:v>45839</x:v>
      </x:c>
      <x:c r="B250" s="35" t="str">
        <x:v>TUT</x:v>
      </x:c>
      <x:c r="C250" s="35" t="str">
        <x:v>新买入</x:v>
      </x:c>
      <x:c r="D250" s="49" t="n">
        <x:v>0.06113</x:v>
      </x:c>
      <x:c r="E250" s="49" t="n">
        <x:v>0.05983</x:v>
      </x:c>
      <x:c r="F250" s="19" t="n">
        <x:f>E250/D250-1</x:f>
        <x:v>-0.021266154097824286</x:v>
      </x:c>
      <x:c r="G250" s="50" t="n">
        <x:v>45870.010416666664</x:v>
      </x:c>
      <x:c r="H250" s="35" t="str">
        <x:v>下次换仓边界（非必然全卖）</x:v>
      </x:c>
      <x:c r="I250" s="53" t="n">
        <x:v>0.1</x:v>
      </x:c>
      <x:c r="J250" s="54" t="n">
        <x:v>938050.3527242617</x:v>
      </x:c>
      <x:c r="K250" s="55" t="n">
        <x:f>J250*(E250-D250)</x:f>
        <x:v>-1219.465458541536</x:v>
      </x:c>
    </x:row>
    <x:row r="251" ht="19.5" customHeight="1">
      <x:c r="A251" s="23" t="n">
        <x:v>45839</x:v>
      </x:c>
      <x:c r="B251" s="42" t="str">
        <x:v>HFT</x:v>
      </x:c>
      <x:c r="C251" s="42" t="str">
        <x:v>新买入</x:v>
      </x:c>
      <x:c r="D251" s="51" t="n">
        <x:v>0.12547</x:v>
      </x:c>
      <x:c r="E251" s="51" t="n">
        <x:v>0.06782</x:v>
      </x:c>
      <x:c r="F251" s="24" t="n">
        <x:f>E251/D251-1</x:f>
        <x:v>-0.4594723838367737</x:v>
      </x:c>
      <x:c r="G251" s="52" t="n">
        <x:v>45870.010416666664</x:v>
      </x:c>
      <x:c r="H251" s="42" t="str">
        <x:v>下次换仓边界（非必然全卖）</x:v>
      </x:c>
      <x:c r="I251" s="56" t="n">
        <x:v>0.1</x:v>
      </x:c>
      <x:c r="J251" s="57" t="n">
        <x:v>457025.7277598957</x:v>
      </x:c>
      <x:c r="K251" s="58" t="n">
        <x:f>J251*(E251-D251)</x:f>
        <x:v>-26347.53320535798</x:v>
      </x:c>
    </x:row>
    <x:row r="252" ht="19.5" customHeight="1">
      <x:c r="A252" s="18" t="n">
        <x:v>45839</x:v>
      </x:c>
      <x:c r="B252" s="35" t="str">
        <x:v>BANANAS31</x:v>
      </x:c>
      <x:c r="C252" s="35" t="str">
        <x:v>新买入</x:v>
      </x:c>
      <x:c r="D252" s="49" t="n">
        <x:v>0.012746</x:v>
      </x:c>
      <x:c r="E252" s="49" t="n">
        <x:v>0.00723</x:v>
      </x:c>
      <x:c r="F252" s="19" t="n">
        <x:f>E252/D252-1</x:f>
        <x:v>-0.4327632198336733</x:v>
      </x:c>
      <x:c r="G252" s="50" t="n">
        <x:v>45870.010416666664</x:v>
      </x:c>
      <x:c r="H252" s="35" t="str">
        <x:v>下次换仓边界（非必然全卖）</x:v>
      </x:c>
      <x:c r="I252" s="53" t="n">
        <x:v>0.1</x:v>
      </x:c>
      <x:c r="J252" s="54" t="n">
        <x:v>4498903.033268014</x:v>
      </x:c>
      <x:c r="K252" s="55" t="n">
        <x:f>J252*(E252-D252)</x:f>
        <x:v>-24815.949131506364</x:v>
      </x:c>
    </x:row>
    <x:row r="253" ht="19.5" customHeight="1">
      <x:c r="A253" s="23" t="n">
        <x:v>45839</x:v>
      </x:c>
      <x:c r="B253" s="42" t="str">
        <x:v>LQTY</x:v>
      </x:c>
      <x:c r="C253" s="42" t="str">
        <x:v>新买入</x:v>
      </x:c>
      <x:c r="D253" s="51" t="n">
        <x:v>1.3722</x:v>
      </x:c>
      <x:c r="E253" s="51" t="n">
        <x:v>0.9475</x:v>
      </x:c>
      <x:c r="F253" s="24" t="n">
        <x:f>E253/D253-1</x:f>
        <x:v>-0.3095029879026381</x:v>
      </x:c>
      <x:c r="G253" s="52" t="n">
        <x:v>45870.010416666664</x:v>
      </x:c>
      <x:c r="H253" s="42" t="str">
        <x:v>下次换仓边界（非必然全卖）</x:v>
      </x:c>
      <x:c r="I253" s="56" t="n">
        <x:v>0.1</x:v>
      </x:c>
      <x:c r="J253" s="57" t="n">
        <x:v>41789.11096198375</x:v>
      </x:c>
      <x:c r="K253" s="58" t="n">
        <x:f>J253*(E253-D253)</x:f>
        <x:v>-17747.835425554502</x:v>
      </x:c>
    </x:row>
    <x:row r="254" ht="19.5" customHeight="1">
      <x:c r="A254" s="18" t="n">
        <x:v>45839</x:v>
      </x:c>
      <x:c r="B254" s="35" t="str">
        <x:v>BR</x:v>
      </x:c>
      <x:c r="C254" s="35" t="str">
        <x:v>新买入</x:v>
      </x:c>
      <x:c r="D254" s="49" t="n">
        <x:v>0.07975</x:v>
      </x:c>
      <x:c r="E254" s="49" t="n">
        <x:v>0.05008</x:v>
      </x:c>
      <x:c r="F254" s="19" t="n">
        <x:f>E254/D254-1</x:f>
        <x:v>-0.372037617554859</x:v>
      </x:c>
      <x:c r="G254" s="50" t="n">
        <x:v>45870.010416666664</x:v>
      </x:c>
      <x:c r="H254" s="35" t="str">
        <x:v>下次换仓边界（非必然全卖）</x:v>
      </x:c>
      <x:c r="I254" s="53" t="n">
        <x:v>0.1</x:v>
      </x:c>
      <x:c r="J254" s="54" t="n">
        <x:v>719034.709241807</x:v>
      </x:c>
      <x:c r="K254" s="55" t="n">
        <x:f>J254*(E254-D254)</x:f>
        <x:v>-21333.759823204415</x:v>
      </x:c>
    </x:row>
    <x:row r="255" ht="19.5" customHeight="1">
      <x:c r="A255" s="23" t="n">
        <x:v>45839</x:v>
      </x:c>
      <x:c r="B255" s="42" t="str">
        <x:v>BMT</x:v>
      </x:c>
      <x:c r="C255" s="42" t="str">
        <x:v>新买入</x:v>
      </x:c>
      <x:c r="D255" s="51" t="n">
        <x:v>0.13422</x:v>
      </x:c>
      <x:c r="E255" s="51" t="n">
        <x:v>0.07915</x:v>
      </x:c>
      <x:c r="F255" s="24" t="n">
        <x:f>E255/D255-1</x:f>
        <x:v>-0.4102965280882134</x:v>
      </x:c>
      <x:c r="G255" s="52" t="n">
        <x:v>45870.010416666664</x:v>
      </x:c>
      <x:c r="H255" s="42" t="str">
        <x:v>下次换仓边界（非必然全卖）</x:v>
      </x:c>
      <x:c r="I255" s="56" t="n">
        <x:v>0.1</x:v>
      </x:c>
      <x:c r="J255" s="57" t="n">
        <x:v>427231.545686441</x:v>
      </x:c>
      <x:c r="K255" s="58" t="n">
        <x:f>J255*(E255-D255)</x:f>
        <x:v>-23527.64122095231</x:v>
      </x:c>
    </x:row>
    <x:row r="256" ht="19.5" customHeight="1">
      <x:c r="A256" s="18" t="n">
        <x:v>45839</x:v>
      </x:c>
      <x:c r="B256" s="35" t="str">
        <x:v>SYRUP</x:v>
      </x:c>
      <x:c r="C256" s="35" t="str">
        <x:v>新买入</x:v>
      </x:c>
      <x:c r="D256" s="49" t="n">
        <x:v>0.54101</x:v>
      </x:c>
      <x:c r="E256" s="49" t="n">
        <x:v>0.4058</x:v>
      </x:c>
      <x:c r="F256" s="19" t="n">
        <x:f>E256/D256-1</x:f>
        <x:v>-0.24992144322655774</x:v>
      </x:c>
      <x:c r="G256" s="50" t="n">
        <x:v>45870.010416666664</x:v>
      </x:c>
      <x:c r="H256" s="35" t="str">
        <x:v>下次换仓边界（非必然全卖）</x:v>
      </x:c>
      <x:c r="I256" s="53" t="n">
        <x:v>0.1</x:v>
      </x:c>
      <x:c r="J256" s="54" t="n">
        <x:v>105992.5289034105</x:v>
      </x:c>
      <x:c r="K256" s="55" t="n">
        <x:f>J256*(E256-D256)</x:f>
        <x:v>-14331.249833030133</x:v>
      </x:c>
    </x:row>
    <x:row r="257" ht="19.5" customHeight="1">
      <x:c r="A257" s="23" t="n">
        <x:v>45839</x:v>
      </x:c>
      <x:c r="B257" s="42" t="str">
        <x:v>AERO</x:v>
      </x:c>
      <x:c r="C257" s="42" t="str">
        <x:v>新买入</x:v>
      </x:c>
      <x:c r="D257" s="51" t="n">
        <x:v>0.8086</x:v>
      </x:c>
      <x:c r="E257" s="51" t="n">
        <x:v>0.7805</x:v>
      </x:c>
      <x:c r="F257" s="24" t="n">
        <x:f>E257/D257-1</x:f>
        <x:v>-0.03475142221122929</x:v>
      </x:c>
      <x:c r="G257" s="52" t="n">
        <x:v>45870.010416666664</x:v>
      </x:c>
      <x:c r="H257" s="42" t="str">
        <x:v>下次换仓边界（非必然全卖）</x:v>
      </x:c>
      <x:c r="I257" s="56" t="n">
        <x:v>0.1</x:v>
      </x:c>
      <x:c r="J257" s="57" t="n">
        <x:v>70916.42105124179</x:v>
      </x:c>
      <x:c r="K257" s="58" t="n">
        <x:f>J257*(E257-D257)</x:f>
        <x:v>-1992.7514315398953</x:v>
      </x:c>
    </x:row>
    <x:row r="258" ht="19.5" customHeight="1">
      <x:c r="A258" s="18" t="n">
        <x:v>45870</x:v>
      </x:c>
      <x:c r="B258" s="35" t="str">
        <x:v>DOLO</x:v>
      </x:c>
      <x:c r="C258" s="35" t="str">
        <x:v>新买入</x:v>
      </x:c>
      <x:c r="D258" s="49" t="n">
        <x:v>0.148152</x:v>
      </x:c>
      <x:c r="E258" s="49" t="n">
        <x:v>0.324859</x:v>
      </x:c>
      <x:c r="F258" s="19" t="n">
        <x:f>E258/D258-1</x:f>
        <x:v>1.192741238727793</x:v>
      </x:c>
      <x:c r="G258" s="50" t="n">
        <x:v>45901.010416666664</x:v>
      </x:c>
      <x:c r="H258" s="35" t="str">
        <x:v>下次换仓边界（非必然全卖）</x:v>
      </x:c>
      <x:c r="I258" s="53" t="n">
        <x:v>0.1</x:v>
      </x:c>
      <x:c r="J258" s="54" t="n">
        <x:v>280370.88614636916</x:v>
      </x:c>
      <x:c r="K258" s="55" t="n">
        <x:f>J258*(E258-D258)</x:f>
        <x:v>49543.498178266454</x:v>
      </x:c>
    </x:row>
    <x:row r="259" ht="19.5" customHeight="1">
      <x:c r="A259" s="23" t="n">
        <x:v>45870</x:v>
      </x:c>
      <x:c r="B259" s="42" t="str">
        <x:v>HYPER</x:v>
      </x:c>
      <x:c r="C259" s="42" t="str">
        <x:v>新买入</x:v>
      </x:c>
      <x:c r="D259" s="51" t="n">
        <x:v>0.3989</x:v>
      </x:c>
      <x:c r="E259" s="51" t="n">
        <x:v>0.2995</x:v>
      </x:c>
      <x:c r="F259" s="24" t="n">
        <x:f>E259/D259-1</x:f>
        <x:v>-0.24918525946352466</x:v>
      </x:c>
      <x:c r="G259" s="52" t="n">
        <x:v>45901.010416666664</x:v>
      </x:c>
      <x:c r="H259" s="42" t="str">
        <x:v>下次换仓边界（非必然全卖）</x:v>
      </x:c>
      <x:c r="I259" s="56" t="n">
        <x:v>0.1</x:v>
      </x:c>
      <x:c r="J259" s="57" t="n">
        <x:v>104130.12665920504</x:v>
      </x:c>
      <x:c r="K259" s="58" t="n">
        <x:f>J259*(E259-D259)</x:f>
        <x:v>-10350.534589924979</x:v>
      </x:c>
    </x:row>
    <x:row r="260" ht="19.5" customHeight="1">
      <x:c r="A260" s="18" t="n">
        <x:v>45870</x:v>
      </x:c>
      <x:c r="B260" s="35" t="str">
        <x:v>VINE</x:v>
      </x:c>
      <x:c r="C260" s="35" t="str">
        <x:v>新买入</x:v>
      </x:c>
      <x:c r="D260" s="49" t="n">
        <x:v>0.10487</x:v>
      </x:c>
      <x:c r="E260" s="49" t="n">
        <x:v>0.06611</x:v>
      </x:c>
      <x:c r="F260" s="19" t="n">
        <x:f>E260/D260-1</x:f>
        <x:v>-0.3696004577095452</x:v>
      </x:c>
      <x:c r="G260" s="50" t="n">
        <x:v>45901.010416666664</x:v>
      </x:c>
      <x:c r="H260" s="35" t="str">
        <x:v>下次换仓边界（非必然全卖）</x:v>
      </x:c>
      <x:c r="I260" s="53" t="n">
        <x:v>0.1</x:v>
      </x:c>
      <x:c r="J260" s="54" t="n">
        <x:v>396085.70157677965</x:v>
      </x:c>
      <x:c r="K260" s="55" t="n">
        <x:f>J260*(E260-D260)</x:f>
        <x:v>-15352.28179311598</x:v>
      </x:c>
    </x:row>
    <x:row r="261" ht="19.5" customHeight="1">
      <x:c r="A261" s="23" t="n">
        <x:v>45870</x:v>
      </x:c>
      <x:c r="B261" s="42" t="str">
        <x:v>CFX</x:v>
      </x:c>
      <x:c r="C261" s="42" t="str">
        <x:v>新买入</x:v>
      </x:c>
      <x:c r="D261" s="51" t="n">
        <x:v>0.21263</x:v>
      </x:c>
      <x:c r="E261" s="51" t="n">
        <x:v>0.19048</x:v>
      </x:c>
      <x:c r="F261" s="24" t="n">
        <x:f>E261/D261-1</x:f>
        <x:v>-0.10417156563043783</x:v>
      </x:c>
      <x:c r="G261" s="52" t="n">
        <x:v>45901.010416666664</x:v>
      </x:c>
      <x:c r="H261" s="42" t="str">
        <x:v>下次换仓边界（非必然全卖）</x:v>
      </x:c>
      <x:c r="I261" s="56" t="n">
        <x:v>0.1</x:v>
      </x:c>
      <x:c r="J261" s="57" t="n">
        <x:v>195351.11472678778</x:v>
      </x:c>
      <x:c r="K261" s="58" t="n">
        <x:f>J261*(E261-D261)</x:f>
        <x:v>-4327.02719119835</x:v>
      </x:c>
    </x:row>
    <x:row r="262" ht="19.5" customHeight="1">
      <x:c r="A262" s="18" t="n">
        <x:v>45870</x:v>
      </x:c>
      <x:c r="B262" s="35" t="str">
        <x:v>OMNI</x:v>
      </x:c>
      <x:c r="C262" s="35" t="str">
        <x:v>新买入</x:v>
      </x:c>
      <x:c r="D262" s="49" t="n">
        <x:v>4.586</x:v>
      </x:c>
      <x:c r="E262" s="49" t="n">
        <x:v>3.162</x:v>
      </x:c>
      <x:c r="F262" s="19" t="n">
        <x:f>E262/D262-1</x:f>
        <x:v>-0.31051024858264287</x:v>
      </x:c>
      <x:c r="G262" s="50" t="n">
        <x:v>45901.010416666664</x:v>
      </x:c>
      <x:c r="H262" s="35" t="str">
        <x:v>下次换仓边界（非必然全卖）</x:v>
      </x:c>
      <x:c r="I262" s="53" t="n">
        <x:v>0.1</x:v>
      </x:c>
      <x:c r="J262" s="54" t="n">
        <x:v>9057.459120008043</x:v>
      </x:c>
      <x:c r="K262" s="55" t="n">
        <x:f>J262*(E262-D262)</x:f>
        <x:v>-12897.821786891456</x:v>
      </x:c>
    </x:row>
    <x:row r="263" ht="19.5" customHeight="1">
      <x:c r="A263" s="23" t="n">
        <x:v>45870</x:v>
      </x:c>
      <x:c r="B263" s="42" t="str">
        <x:v>AIOT</x:v>
      </x:c>
      <x:c r="C263" s="42" t="str">
        <x:v>新买入</x:v>
      </x:c>
      <x:c r="D263" s="51" t="n">
        <x:v>0.40351</x:v>
      </x:c>
      <x:c r="E263" s="51" t="n">
        <x:v>1.5764</x:v>
      </x:c>
      <x:c r="F263" s="24" t="n">
        <x:f>E263/D263-1</x:f>
        <x:v>2.9067185447696464</x:v>
      </x:c>
      <x:c r="G263" s="52" t="n">
        <x:v>45901.010416666664</x:v>
      </x:c>
      <x:c r="H263" s="42" t="str">
        <x:v>下次换仓边界（非必然全卖）</x:v>
      </x:c>
      <x:c r="I263" s="56" t="n">
        <x:v>0.1</x:v>
      </x:c>
      <x:c r="J263" s="57" t="n">
        <x:v>102940.46621981336</x:v>
      </x:c>
      <x:c r="K263" s="58" t="n">
        <x:f>J263*(E263-D263)</x:f>
        <x:v>120737.8434245569</x:v>
      </x:c>
    </x:row>
    <x:row r="264" ht="19.5" customHeight="1">
      <x:c r="A264" s="18" t="n">
        <x:v>45870</x:v>
      </x:c>
      <x:c r="B264" s="35" t="str">
        <x:v>SPK</x:v>
      </x:c>
      <x:c r="C264" s="35" t="str">
        <x:v>新买入</x:v>
      </x:c>
      <x:c r="D264" s="49" t="n">
        <x:v>0.09993</x:v>
      </x:c>
      <x:c r="E264" s="49" t="n">
        <x:v>0.05751</x:v>
      </x:c>
      <x:c r="F264" s="19" t="n">
        <x:f>E264/D264-1</x:f>
        <x:v>-0.4244971480036026</x:v>
      </x:c>
      <x:c r="G264" s="50" t="n">
        <x:v>45901.010416666664</x:v>
      </x:c>
      <x:c r="H264" s="35" t="str">
        <x:v>下次换仓边界（非必然全卖）</x:v>
      </x:c>
      <x:c r="I264" s="53" t="n">
        <x:v>0.1</x:v>
      </x:c>
      <x:c r="J264" s="54" t="n">
        <x:v>415666.04147259967</x:v>
      </x:c>
      <x:c r="K264" s="55" t="n">
        <x:f>J264*(E264-D264)</x:f>
        <x:v>-17632.55347926768</x:v>
      </x:c>
    </x:row>
    <x:row r="265" ht="19.5" customHeight="1">
      <x:c r="A265" s="23" t="n">
        <x:v>45870</x:v>
      </x:c>
      <x:c r="B265" s="42" t="str">
        <x:v>PENGU</x:v>
      </x:c>
      <x:c r="C265" s="42" t="str">
        <x:v>新买入</x:v>
      </x:c>
      <x:c r="D265" s="51" t="n">
        <x:v>0.033359</x:v>
      </x:c>
      <x:c r="E265" s="51" t="n">
        <x:v>0.028816</x:v>
      </x:c>
      <x:c r="F265" s="24" t="n">
        <x:f>E265/D265-1</x:f>
        <x:v>-0.13618513744416794</x:v>
      </x:c>
      <x:c r="G265" s="52" t="n">
        <x:v>45901.010416666664</x:v>
      </x:c>
      <x:c r="H265" s="42" t="str">
        <x:v>下次换仓边界（非必然全卖）</x:v>
      </x:c>
      <x:c r="I265" s="56" t="n">
        <x:v>0.1</x:v>
      </x:c>
      <x:c r="J265" s="57" t="n">
        <x:v>1245166.4475660806</x:v>
      </x:c>
      <x:c r="K265" s="58" t="n">
        <x:f>J265*(E265-D265)</x:f>
        <x:v>-5656.7911712927025</x:v>
      </x:c>
    </x:row>
    <x:row r="266" ht="19.5" customHeight="1">
      <x:c r="A266" s="18" t="n">
        <x:v>45870</x:v>
      </x:c>
      <x:c r="B266" s="35" t="str">
        <x:v>ASR</x:v>
      </x:c>
      <x:c r="C266" s="35" t="str">
        <x:v>新买入</x:v>
      </x:c>
      <x:c r="D266" s="49" t="n">
        <x:v>5.166</x:v>
      </x:c>
      <x:c r="E266" s="49" t="n">
        <x:v>2.515</x:v>
      </x:c>
      <x:c r="F266" s="19" t="n">
        <x:f>E266/D266-1</x:f>
        <x:v>-0.5131629887727449</x:v>
      </x:c>
      <x:c r="G266" s="50" t="n">
        <x:v>45901.010416666664</x:v>
      </x:c>
      <x:c r="H266" s="35" t="str">
        <x:v>下次换仓边界（非必然全卖）</x:v>
      </x:c>
      <x:c r="I266" s="53" t="n">
        <x:v>0.1</x:v>
      </x:c>
      <x:c r="J266" s="54" t="n">
        <x:v>8040.555076336988</x:v>
      </x:c>
      <x:c r="K266" s="55" t="n">
        <x:f>J266*(E266-D266)</x:f>
        <x:v>-21315.51150736936</x:v>
      </x:c>
    </x:row>
    <x:row r="267" ht="19.5" customHeight="1">
      <x:c r="A267" s="23" t="n">
        <x:v>45870</x:v>
      </x:c>
      <x:c r="B267" s="42" t="str">
        <x:v>EPIC</x:v>
      </x:c>
      <x:c r="C267" s="42" t="str">
        <x:v>新买入</x:v>
      </x:c>
      <x:c r="D267" s="51" t="n">
        <x:v>1.8127</x:v>
      </x:c>
      <x:c r="E267" s="51" t="n">
        <x:v>2.2324</x:v>
      </x:c>
      <x:c r="F267" s="24" t="n">
        <x:f>E267/D267-1</x:f>
        <x:v>0.23153307221272157</x:v>
      </x:c>
      <x:c r="G267" s="52" t="n">
        <x:v>45901.010416666664</x:v>
      </x:c>
      <x:c r="H267" s="42" t="str">
        <x:v>下次换仓边界（非必然全卖）</x:v>
      </x:c>
      <x:c r="I267" s="56" t="n">
        <x:v>0.1</x:v>
      </x:c>
      <x:c r="J267" s="57" t="n">
        <x:v>22914.717010181987</x:v>
      </x:c>
      <x:c r="K267" s="58" t="n">
        <x:f>J267*(E267-D267)</x:f>
        <x:v>9617.306729173384</x:v>
      </x:c>
    </x:row>
    <x:row r="268" ht="19.5" customHeight="1">
      <x:c r="A268" s="18" t="n">
        <x:v>45901</x:v>
      </x:c>
      <x:c r="B268" s="35" t="str">
        <x:v>MYX</x:v>
      </x:c>
      <x:c r="C268" s="35" t="str">
        <x:v>新买入</x:v>
      </x:c>
      <x:c r="D268" s="49" t="n">
        <x:v>1.2046</x:v>
      </x:c>
      <x:c r="E268" s="49" t="n">
        <x:v>15.028</x:v>
      </x:c>
      <x:c r="F268" s="19" t="n">
        <x:f>E268/D268-1</x:f>
        <x:v>11.475510542918812</x:v>
      </x:c>
      <x:c r="G268" s="50" t="n">
        <x:v>45931.010416666664</x:v>
      </x:c>
      <x:c r="H268" s="35" t="str">
        <x:v>下次换仓边界（非必然全卖）</x:v>
      </x:c>
      <x:c r="I268" s="53" t="n">
        <x:v>0.1</x:v>
      </x:c>
      <x:c r="J268" s="54" t="n">
        <x:v>42055.85392063013</x:v>
      </x:c>
      <x:c r="K268" s="55" t="n">
        <x:f>J268*(E268-D268)</x:f>
        <x:v>581354.8910864386</x:v>
      </x:c>
    </x:row>
    <x:row r="269" ht="19.5" customHeight="1">
      <x:c r="A269" s="23" t="n">
        <x:v>45901</x:v>
      </x:c>
      <x:c r="B269" s="42" t="str">
        <x:v>AIOT</x:v>
      </x:c>
      <x:c r="C269" s="42" t="str">
        <x:v>续持调仓</x:v>
      </x:c>
      <x:c r="D269" s="51" t="n">
        <x:v>1.5764</x:v>
      </x:c>
      <x:c r="E269" s="51" t="n">
        <x:v>0.9269</x:v>
      </x:c>
      <x:c r="F269" s="24" t="n">
        <x:f>E269/D269-1</x:f>
        <x:v>-0.4120147170768841</x:v>
      </x:c>
      <x:c r="G269" s="52" t="n">
        <x:v>45931.010416666664</x:v>
      </x:c>
      <x:c r="H269" s="42" t="str">
        <x:v>下次换仓边界（非必然全卖）</x:v>
      </x:c>
      <x:c r="I269" s="56" t="n">
        <x:v>0.1</x:v>
      </x:c>
      <x:c r="J269" s="57" t="n">
        <x:v>32136.819102252633</x:v>
      </x:c>
      <x:c r="K269" s="58" t="n">
        <x:f>J269*(E269-D269)</x:f>
        <x:v>-20872.86400691309</x:v>
      </x:c>
    </x:row>
    <x:row r="270" ht="19.5" customHeight="1">
      <x:c r="A270" s="18" t="n">
        <x:v>45901</x:v>
      </x:c>
      <x:c r="B270" s="35" t="str">
        <x:v>BIO</x:v>
      </x:c>
      <x:c r="C270" s="35" t="str">
        <x:v>新买入</x:v>
      </x:c>
      <x:c r="D270" s="49" t="n">
        <x:v>0.15442</x:v>
      </x:c>
      <x:c r="E270" s="49" t="n">
        <x:v>0.1301</x:v>
      </x:c>
      <x:c r="F270" s="19" t="n">
        <x:f>E270/D270-1</x:f>
        <x:v>-0.15749255277813756</x:v>
      </x:c>
      <x:c r="G270" s="50" t="n">
        <x:v>45931.010416666664</x:v>
      </x:c>
      <x:c r="H270" s="35" t="str">
        <x:v>下次换仓边界（非必然全卖）</x:v>
      </x:c>
      <x:c r="I270" s="53" t="n">
        <x:v>0.1</x:v>
      </x:c>
      <x:c r="J270" s="54" t="n">
        <x:v>328069.4316331502</x:v>
      </x:c>
      <x:c r="K270" s="55" t="n">
        <x:f>J270*(E270-D270)</x:f>
        <x:v>-7978.648577318216</x:v>
      </x:c>
    </x:row>
    <x:row r="271" ht="19.5" customHeight="1">
      <x:c r="A271" s="23" t="n">
        <x:v>45901</x:v>
      </x:c>
      <x:c r="B271" s="42" t="str">
        <x:v>OG</x:v>
      </x:c>
      <x:c r="C271" s="42" t="str">
        <x:v>新买入</x:v>
      </x:c>
      <x:c r="D271" s="51" t="n">
        <x:v>12.966</x:v>
      </x:c>
      <x:c r="E271" s="51" t="n">
        <x:v>15.864</x:v>
      </x:c>
      <x:c r="F271" s="24" t="n">
        <x:f>E271/D271-1</x:f>
        <x:v>0.22350763535400286</x:v>
      </x:c>
      <x:c r="G271" s="52" t="n">
        <x:v>45931.010416666664</x:v>
      </x:c>
      <x:c r="H271" s="42" t="str">
        <x:v>下次换仓边界（非必然全卖）</x:v>
      </x:c>
      <x:c r="I271" s="56" t="n">
        <x:v>0.1</x:v>
      </x:c>
      <x:c r="J271" s="57" t="n">
        <x:v>3907.178901187032</x:v>
      </x:c>
      <x:c r="K271" s="58" t="n">
        <x:f>J271*(E271-D271)</x:f>
        <x:v>11323.004455640024</x:v>
      </x:c>
    </x:row>
    <x:row r="272" ht="19.5" customHeight="1">
      <x:c r="A272" s="18" t="n">
        <x:v>45901</x:v>
      </x:c>
      <x:c r="B272" s="35" t="str">
        <x:v>DOLO</x:v>
      </x:c>
      <x:c r="C272" s="35" t="str">
        <x:v>续持调仓</x:v>
      </x:c>
      <x:c r="D272" s="49" t="n">
        <x:v>0.324859</x:v>
      </x:c>
      <x:c r="E272" s="49" t="n">
        <x:v>0.10484</x:v>
      </x:c>
      <x:c r="F272" s="19" t="n">
        <x:f>E272/D272-1</x:f>
        <x:v>-0.6772753717766785</x:v>
      </x:c>
      <x:c r="G272" s="50" t="n">
        <x:v>45931.010416666664</x:v>
      </x:c>
      <x:c r="H272" s="35" t="str">
        <x:v>下次换仓边界（非必然全卖）</x:v>
      </x:c>
      <x:c r="I272" s="53" t="n">
        <x:v>0.1</x:v>
      </x:c>
      <x:c r="J272" s="54" t="n">
        <x:v>155946.06162301506</x:v>
      </x:c>
      <x:c r="K272" s="55" t="n">
        <x:f>J272*(E272-D272)</x:f>
        <x:v>-34311.09653223415</x:v>
      </x:c>
    </x:row>
    <x:row r="273" ht="19.5" customHeight="1">
      <x:c r="A273" s="23" t="n">
        <x:v>45901</x:v>
      </x:c>
      <x:c r="B273" s="42" t="str">
        <x:v>ALPINE</x:v>
      </x:c>
      <x:c r="C273" s="42" t="str">
        <x:v>新买入</x:v>
      </x:c>
      <x:c r="D273" s="51" t="n">
        <x:v>1.8722</x:v>
      </x:c>
      <x:c r="E273" s="51" t="n">
        <x:v>6.605</x:v>
      </x:c>
      <x:c r="F273" s="24" t="n">
        <x:f>E273/D273-1</x:f>
        <x:v>2.52793504967418</x:v>
      </x:c>
      <x:c r="G273" s="52" t="n">
        <x:v>45931.010416666664</x:v>
      </x:c>
      <x:c r="H273" s="42" t="str">
        <x:v>下次换仓边界（非必然全卖）</x:v>
      </x:c>
      <x:c r="I273" s="56" t="n">
        <x:v>0.1</x:v>
      </x:c>
      <x:c r="J273" s="57" t="n">
        <x:v>27059.332140151186</x:v>
      </x:c>
      <x:c r="K273" s="58" t="n">
        <x:f>J273*(E273-D273)</x:f>
        <x:v>128066.40715290753</x:v>
      </x:c>
    </x:row>
    <x:row r="274" ht="19.5" customHeight="1">
      <x:c r="A274" s="18" t="n">
        <x:v>45901</x:v>
      </x:c>
      <x:c r="B274" s="35" t="str">
        <x:v>TA</x:v>
      </x:c>
      <x:c r="C274" s="35" t="str">
        <x:v>新买入</x:v>
      </x:c>
      <x:c r="D274" s="49" t="n">
        <x:v>0.12637</x:v>
      </x:c>
      <x:c r="E274" s="49" t="n">
        <x:v>0.0657</x:v>
      </x:c>
      <x:c r="F274" s="19" t="n">
        <x:f>E274/D274-1</x:f>
        <x:v>-0.48009812455487866</x:v>
      </x:c>
      <x:c r="G274" s="50" t="n">
        <x:v>45931.010416666664</x:v>
      </x:c>
      <x:c r="H274" s="35" t="str">
        <x:v>下次换仓边界（非必然全卖）</x:v>
      </x:c>
      <x:c r="I274" s="53" t="n">
        <x:v>0.1</x:v>
      </x:c>
      <x:c r="J274" s="54" t="n">
        <x:v>400890.09759271226</x:v>
      </x:c>
      <x:c r="K274" s="55" t="n">
        <x:f>J274*(E274-D274)</x:f>
        <x:v>-24322.00222094986</x:v>
      </x:c>
    </x:row>
    <x:row r="275" ht="19.5" customHeight="1">
      <x:c r="A275" s="23" t="n">
        <x:v>45901</x:v>
      </x:c>
      <x:c r="B275" s="42" t="str">
        <x:v>M</x:v>
      </x:c>
      <x:c r="C275" s="42" t="str">
        <x:v>新买入</x:v>
      </x:c>
      <x:c r="D275" s="51" t="n">
        <x:v>0.6709</x:v>
      </x:c>
      <x:c r="E275" s="51" t="n">
        <x:v>2.4038</x:v>
      </x:c>
      <x:c r="F275" s="24" t="n">
        <x:f>E275/D275-1</x:f>
        <x:v>2.5829482784319566</x:v>
      </x:c>
      <x:c r="G275" s="52" t="n">
        <x:v>45931.010416666664</x:v>
      </x:c>
      <x:c r="H275" s="42" t="str">
        <x:v>下次换仓边界（非必然全卖）</x:v>
      </x:c>
      <x:c r="I275" s="56" t="n">
        <x:v>0.1</x:v>
      </x:c>
      <x:c r="J275" s="57" t="n">
        <x:v>75511.2261630512</x:v>
      </x:c>
      <x:c r="K275" s="58" t="n">
        <x:f>J275*(E275-D275)</x:f>
        <x:v>130853.4038179514</x:v>
      </x:c>
    </x:row>
    <x:row r="276" ht="19.5" customHeight="1">
      <x:c r="A276" s="18" t="n">
        <x:v>45901</x:v>
      </x:c>
      <x:c r="B276" s="35" t="str">
        <x:v>SOON</x:v>
      </x:c>
      <x:c r="C276" s="35" t="str">
        <x:v>新买入</x:v>
      </x:c>
      <x:c r="D276" s="49" t="n">
        <x:v>0.24736</x:v>
      </x:c>
      <x:c r="E276" s="49" t="n">
        <x:v>0.38546</x:v>
      </x:c>
      <x:c r="F276" s="19" t="n">
        <x:f>E276/D276-1</x:f>
        <x:v>0.5582956015523934</x:v>
      </x:c>
      <x:c r="G276" s="50" t="n">
        <x:v>45931.010416666664</x:v>
      </x:c>
      <x:c r="H276" s="35" t="str">
        <x:v>下次换仓边界（非必然全卖）</x:v>
      </x:c>
      <x:c r="I276" s="53" t="n">
        <x:v>0.1</x:v>
      </x:c>
      <x:c r="J276" s="54" t="n">
        <x:v>204804.66378068828</x:v>
      </x:c>
      <x:c r="K276" s="55" t="n">
        <x:f>J276*(E276-D276)</x:f>
        <x:v>28283.524068113056</x:v>
      </x:c>
    </x:row>
    <x:row r="277" ht="19.5" customHeight="1">
      <x:c r="A277" s="23" t="n">
        <x:v>45901</x:v>
      </x:c>
      <x:c r="B277" s="42" t="str">
        <x:v>NMR</x:v>
      </x:c>
      <x:c r="C277" s="42" t="str">
        <x:v>新买入</x:v>
      </x:c>
      <x:c r="D277" s="51" t="n">
        <x:v>14.552</x:v>
      </x:c>
      <x:c r="E277" s="51" t="n">
        <x:v>16.32</x:v>
      </x:c>
      <x:c r="F277" s="24" t="n">
        <x:f>E277/D277-1</x:f>
        <x:v>0.12149532710280386</x:v>
      </x:c>
      <x:c r="G277" s="52" t="n">
        <x:v>45931.010416666664</x:v>
      </x:c>
      <x:c r="H277" s="42" t="str">
        <x:v>下次换仓边界（非必然全卖）</x:v>
      </x:c>
      <x:c r="I277" s="56" t="n">
        <x:v>0.1</x:v>
      </x:c>
      <x:c r="J277" s="57" t="n">
        <x:v>3481.341508575526</x:v>
      </x:c>
      <x:c r="K277" s="58" t="n">
        <x:f>J277*(E277-D277)</x:f>
        <x:v>6155.011787161532</x:v>
      </x:c>
    </x:row>
    <x:row r="278" ht="19.5" customHeight="1">
      <x:c r="A278" s="18" t="n">
        <x:v>45931</x:v>
      </x:c>
      <x:c r="B278" s="35" t="str">
        <x:v>MYX</x:v>
      </x:c>
      <x:c r="C278" s="35" t="str">
        <x:v>续持调仓</x:v>
      </x:c>
      <x:c r="D278" s="49" t="n">
        <x:v>15.028</x:v>
      </x:c>
      <x:c r="E278" s="49" t="n">
        <x:v>2</x:v>
      </x:c>
      <x:c r="F278" s="19" t="n">
        <x:f>E278/D278-1</x:f>
        <x:v>-0.8669150918285866</x:v>
      </x:c>
      <x:c r="G278" s="50" t="n">
        <x:v>45962.010416666664</x:v>
      </x:c>
      <x:c r="H278" s="35" t="str">
        <x:v>下次换仓边界（非必然全卖）</x:v>
      </x:c>
      <x:c r="I278" s="53" t="n">
        <x:v>0.1</x:v>
      </x:c>
      <x:c r="J278" s="54" t="n">
        <x:v>8667.818555096006</x:v>
      </x:c>
      <x:c r="K278" s="55" t="n">
        <x:f>J278*(E278-D278)</x:f>
        <x:v>-112924.34013579077</x:v>
      </x:c>
    </x:row>
    <x:row r="279" ht="19.5" customHeight="1">
      <x:c r="A279" s="23" t="n">
        <x:v>45931</x:v>
      </x:c>
      <x:c r="B279" s="42" t="str">
        <x:v>M</x:v>
      </x:c>
      <x:c r="C279" s="42" t="str">
        <x:v>续持调仓</x:v>
      </x:c>
      <x:c r="D279" s="51" t="n">
        <x:v>2.4038</x:v>
      </x:c>
      <x:c r="E279" s="51" t="n">
        <x:v>2.5096</x:v>
      </x:c>
      <x:c r="F279" s="24" t="n">
        <x:f>E279/D279-1</x:f>
        <x:v>0.04401364506198524</x:v>
      </x:c>
      <x:c r="G279" s="52" t="n">
        <x:v>45962.010416666664</x:v>
      </x:c>
      <x:c r="H279" s="42" t="str">
        <x:v>下次换仓边界（非必然全卖）</x:v>
      </x:c>
      <x:c r="I279" s="56" t="n">
        <x:v>0.1</x:v>
      </x:c>
      <x:c r="J279" s="57" t="n">
        <x:v>54189.19096679541</x:v>
      </x:c>
      <x:c r="K279" s="58" t="n">
        <x:f>J279*(E279-D279)</x:f>
        <x:v>5733.216404286949</x:v>
      </x:c>
    </x:row>
    <x:row r="280" ht="19.5" customHeight="1">
      <x:c r="A280" s="18" t="n">
        <x:v>45931</x:v>
      </x:c>
      <x:c r="B280" s="35" t="str">
        <x:v>ALPINE</x:v>
      </x:c>
      <x:c r="C280" s="35" t="str">
        <x:v>续持调仓</x:v>
      </x:c>
      <x:c r="D280" s="49" t="n">
        <x:v>6.605</x:v>
      </x:c>
      <x:c r="E280" s="49" t="n">
        <x:v>0.7355</x:v>
      </x:c>
      <x:c r="F280" s="19" t="n">
        <x:f>E280/D280-1</x:f>
        <x:v>-0.8886449659348978</x:v>
      </x:c>
      <x:c r="G280" s="50" t="n">
        <x:v>45962.010416666664</x:v>
      </x:c>
      <x:c r="H280" s="35" t="str">
        <x:v>下次换仓边界（非必然全卖）</x:v>
      </x:c>
      <x:c r="I280" s="53" t="n">
        <x:v>0.1</x:v>
      </x:c>
      <x:c r="J280" s="54" t="n">
        <x:v>19721.419719300953</x:v>
      </x:c>
      <x:c r="K280" s="55" t="n">
        <x:f>J280*(E280-D280)</x:f>
        <x:v>-115754.87304243696</x:v>
      </x:c>
    </x:row>
    <x:row r="281" ht="19.5" customHeight="1">
      <x:c r="A281" s="23" t="n">
        <x:v>45931</x:v>
      </x:c>
      <x:c r="B281" s="42" t="str">
        <x:v>JELLYJELLY</x:v>
      </x:c>
      <x:c r="C281" s="42" t="str">
        <x:v>新买入</x:v>
      </x:c>
      <x:c r="D281" s="51" t="n">
        <x:v>0.05063</x:v>
      </x:c>
      <x:c r="E281" s="51" t="n">
        <x:v>0.13033</x:v>
      </x:c>
      <x:c r="F281" s="24" t="n">
        <x:f>E281/D281-1</x:f>
        <x:v>1.5741655145170848</x:v>
      </x:c>
      <x:c r="G281" s="52" t="n">
        <x:v>45962.010416666664</x:v>
      </x:c>
      <x:c r="H281" s="42" t="str">
        <x:v>下次换仓边界（非必然全卖）</x:v>
      </x:c>
      <x:c r="I281" s="56" t="n">
        <x:v>0.1</x:v>
      </x:c>
      <x:c r="J281" s="57" t="n">
        <x:v>2572782.485601082</x:v>
      </x:c>
      <x:c r="K281" s="58" t="n">
        <x:f>J281*(E281-D281)</x:f>
        <x:v>205050.76410240622</x:v>
      </x:c>
    </x:row>
    <x:row r="282" ht="19.5" customHeight="1">
      <x:c r="A282" s="18" t="n">
        <x:v>45931</x:v>
      </x:c>
      <x:c r="B282" s="35" t="str">
        <x:v>HEMI</x:v>
      </x:c>
      <x:c r="C282" s="35" t="str">
        <x:v>新买入</x:v>
      </x:c>
      <x:c r="D282" s="49" t="n">
        <x:v>0.096847</x:v>
      </x:c>
      <x:c r="E282" s="49" t="n">
        <x:v>0.04179</x:v>
      </x:c>
      <x:c r="F282" s="19" t="n">
        <x:f>E282/D282-1</x:f>
        <x:v>-0.568494635868948</x:v>
      </x:c>
      <x:c r="G282" s="50" t="n">
        <x:v>45962.010416666664</x:v>
      </x:c>
      <x:c r="H282" s="35" t="str">
        <x:v>下次换仓边界（非必然全卖）</x:v>
      </x:c>
      <x:c r="I282" s="53" t="n">
        <x:v>0.1</x:v>
      </x:c>
      <x:c r="J282" s="54" t="n">
        <x:v>1345007.870620492</x:v>
      </x:c>
      <x:c r="K282" s="55" t="n">
        <x:f>J282*(E282-D282)</x:f>
        <x:v>-74052.09833275243</x:v>
      </x:c>
    </x:row>
    <x:row r="283" ht="19.5" customHeight="1">
      <x:c r="A283" s="23" t="n">
        <x:v>45931</x:v>
      </x:c>
      <x:c r="B283" s="42" t="str">
        <x:v>VELVET</x:v>
      </x:c>
      <x:c r="C283" s="42" t="str">
        <x:v>新买入</x:v>
      </x:c>
      <x:c r="D283" s="51" t="n">
        <x:v>0.17322</x:v>
      </x:c>
      <x:c r="E283" s="51" t="n">
        <x:v>0.24506</x:v>
      </x:c>
      <x:c r="F283" s="24" t="n">
        <x:f>E283/D283-1</x:f>
        <x:v>0.4147327098487472</x:v>
      </x:c>
      <x:c r="G283" s="52" t="n">
        <x:v>45962.010416666664</x:v>
      </x:c>
      <x:c r="H283" s="42" t="str">
        <x:v>下次换仓边界（非必然全卖）</x:v>
      </x:c>
      <x:c r="I283" s="56" t="n">
        <x:v>0.1</x:v>
      </x:c>
      <x:c r="J283" s="57" t="n">
        <x:v>751991.5555131208</x:v>
      </x:c>
      <x:c r="K283" s="58" t="n">
        <x:f>J283*(E283-D283)</x:f>
        <x:v>54023.07334806259</x:v>
      </x:c>
    </x:row>
    <x:row r="284" ht="19.5" customHeight="1">
      <x:c r="A284" s="18" t="n">
        <x:v>45931</x:v>
      </x:c>
      <x:c r="B284" s="35" t="str">
        <x:v>MERL</x:v>
      </x:c>
      <x:c r="C284" s="35" t="str">
        <x:v>新买入</x:v>
      </x:c>
      <x:c r="D284" s="49" t="n">
        <x:v>0.3086</x:v>
      </x:c>
      <x:c r="E284" s="49" t="n">
        <x:v>0.32818</x:v>
      </x:c>
      <x:c r="F284" s="19" t="n">
        <x:f>E284/D284-1</x:f>
        <x:v>0.06344782890473111</x:v>
      </x:c>
      <x:c r="G284" s="50" t="n">
        <x:v>45962.010416666664</x:v>
      </x:c>
      <x:c r="H284" s="35" t="str">
        <x:v>下次换仓边界（非必然全卖）</x:v>
      </x:c>
      <x:c r="I284" s="53" t="n">
        <x:v>0.1</x:v>
      </x:c>
      <x:c r="J284" s="54" t="n">
        <x:v>422099.7318405146</x:v>
      </x:c>
      <x:c r="K284" s="55" t="n">
        <x:f>J284*(E284-D284)</x:f>
        <x:v>8264.712749437293</x:v>
      </x:c>
    </x:row>
    <x:row r="285" ht="19.5" customHeight="1">
      <x:c r="A285" s="23" t="n">
        <x:v>45931</x:v>
      </x:c>
      <x:c r="B285" s="42" t="str">
        <x:v>SQD</x:v>
      </x:c>
      <x:c r="C285" s="42" t="str">
        <x:v>新买入</x:v>
      </x:c>
      <x:c r="D285" s="51" t="n">
        <x:v>0.21698</x:v>
      </x:c>
      <x:c r="E285" s="51" t="n">
        <x:v>0.09463</x:v>
      </x:c>
      <x:c r="F285" s="24" t="n">
        <x:f>E285/D285-1</x:f>
        <x:v>-0.5638768550096783</x:v>
      </x:c>
      <x:c r="G285" s="52" t="n">
        <x:v>45962.010416666664</x:v>
      </x:c>
      <x:c r="H285" s="42" t="str">
        <x:v>下次换仓边界（非必然全卖）</x:v>
      </x:c>
      <x:c r="I285" s="56" t="n">
        <x:v>0.1</x:v>
      </x:c>
      <x:c r="J285" s="57" t="n">
        <x:v>600331.7229513448</x:v>
      </x:c>
      <x:c r="K285" s="58" t="n">
        <x:f>J285*(E285-D285)</x:f>
        <x:v>-73450.58630309704</x:v>
      </x:c>
    </x:row>
    <x:row r="286" ht="19.5" customHeight="1">
      <x:c r="A286" s="18" t="n">
        <x:v>45931</x:v>
      </x:c>
      <x:c r="B286" s="35" t="str">
        <x:v>H</x:v>
      </x:c>
      <x:c r="C286" s="35" t="str">
        <x:v>新买入</x:v>
      </x:c>
      <x:c r="D286" s="49" t="n">
        <x:v>0.07126</x:v>
      </x:c>
      <x:c r="E286" s="49" t="n">
        <x:v>0.29295</x:v>
      </x:c>
      <x:c r="F286" s="19" t="n">
        <x:f>E286/D286-1</x:f>
        <x:v>3.111001964636542</x:v>
      </x:c>
      <x:c r="G286" s="50" t="n">
        <x:v>45962.010416666664</x:v>
      </x:c>
      <x:c r="H286" s="35" t="str">
        <x:v>下次换仓边界（非必然全卖）</x:v>
      </x:c>
      <x:c r="I286" s="53" t="n">
        <x:v>0.1</x:v>
      </x:c>
      <x:c r="J286" s="54" t="n">
        <x:v>1827953.6520626268</x:v>
      </x:c>
      <x:c r="K286" s="55" t="n">
        <x:f>J286*(E286-D286)</x:f>
        <x:v>405239.04512576375</x:v>
      </x:c>
    </x:row>
    <x:row r="287" ht="19.5" customHeight="1">
      <x:c r="A287" s="23" t="n">
        <x:v>45931</x:v>
      </x:c>
      <x:c r="B287" s="42" t="str">
        <x:v>AWE</x:v>
      </x:c>
      <x:c r="C287" s="42" t="str">
        <x:v>新买入</x:v>
      </x:c>
      <x:c r="D287" s="51" t="n">
        <x:v>0.11839</x:v>
      </x:c>
      <x:c r="E287" s="51" t="n">
        <x:v>0.06799</x:v>
      </x:c>
      <x:c r="F287" s="24" t="n">
        <x:f>E287/D287-1</x:f>
        <x:v>-0.4257116310499198</x:v>
      </x:c>
      <x:c r="G287" s="52" t="n">
        <x:v>45962.010416666664</x:v>
      </x:c>
      <x:c r="H287" s="42" t="str">
        <x:v>下次换仓边界（非必然全卖）</x:v>
      </x:c>
      <x:c r="I287" s="56" t="n">
        <x:v>0.1</x:v>
      </x:c>
      <x:c r="J287" s="57" t="n">
        <x:v>1100261.6542443011</x:v>
      </x:c>
      <x:c r="K287" s="58" t="n">
        <x:f>J287*(E287-D287)</x:f>
        <x:v>-55453.18737391278</x:v>
      </x:c>
    </x:row>
    <x:row r="288" ht="19.5" customHeight="1">
      <x:c r="A288" s="18" t="n">
        <x:v>45962</x:v>
      </x:c>
      <x:c r="B288" s="35" t="str">
        <x:v>XPIN</x:v>
      </x:c>
      <x:c r="C288" s="35" t="str">
        <x:v>新买入</x:v>
      </x:c>
      <x:c r="D288" s="49" t="n">
        <x:v>0.007023</x:v>
      </x:c>
      <x:c r="E288" s="49" t="n">
        <x:v>0.001979</x:v>
      </x:c>
      <x:c r="F288" s="19" t="n">
        <x:f>E288/D288-1</x:f>
        <x:v>-0.7182115904883952</x:v>
      </x:c>
      <x:c r="G288" s="50" t="n">
        <x:v>45992.010416666664</x:v>
      </x:c>
      <x:c r="H288" s="35" t="str">
        <x:v>下次换仓边界（非必然全卖）</x:v>
      </x:c>
      <x:c r="I288" s="53" t="n">
        <x:v>0.1</x:v>
      </x:c>
      <x:c r="J288" s="54" t="n">
        <x:v>22010651.21108026</x:v>
      </x:c>
      <x:c r="K288" s="55" t="n">
        <x:f>J288*(E288-D288)</x:f>
        <x:v>-111021.72470868884</x:v>
      </x:c>
    </x:row>
    <x:row r="289" ht="19.5" customHeight="1">
      <x:c r="A289" s="23" t="n">
        <x:v>45962</x:v>
      </x:c>
      <x:c r="B289" s="42" t="str">
        <x:v>COAI</x:v>
      </x:c>
      <x:c r="C289" s="42" t="str">
        <x:v>新买入</x:v>
      </x:c>
      <x:c r="D289" s="51" t="n">
        <x:v>1.591</x:v>
      </x:c>
      <x:c r="E289" s="51" t="n">
        <x:v>0.5385</x:v>
      </x:c>
      <x:c r="F289" s="24" t="n">
        <x:f>E289/D289-1</x:f>
        <x:v>-0.6615336266499057</x:v>
      </x:c>
      <x:c r="G289" s="52" t="n">
        <x:v>45992.010416666664</x:v>
      </x:c>
      <x:c r="H289" s="42" t="str">
        <x:v>下次换仓边界（非必然全卖）</x:v>
      </x:c>
      <x:c r="I289" s="56" t="n">
        <x:v>0.1</x:v>
      </x:c>
      <x:c r="J289" s="57" t="n">
        <x:v>97159.52448486278</x:v>
      </x:c>
      <x:c r="K289" s="58" t="n">
        <x:f>J289*(E289-D289)</x:f>
        <x:v>-102260.39952031807</x:v>
      </x:c>
    </x:row>
    <x:row r="290" ht="19.5" customHeight="1">
      <x:c r="A290" s="18" t="n">
        <x:v>45962</x:v>
      </x:c>
      <x:c r="B290" s="35" t="str">
        <x:v>ZEC</x:v>
      </x:c>
      <x:c r="C290" s="35" t="str">
        <x:v>新买入</x:v>
      </x:c>
      <x:c r="D290" s="49" t="n">
        <x:v>403.69</x:v>
      </x:c>
      <x:c r="E290" s="49" t="n">
        <x:v>411.04</x:v>
      </x:c>
      <x:c r="F290" s="19" t="n">
        <x:f>E290/D290-1</x:f>
        <x:v>0.018207040055488122</x:v>
      </x:c>
      <x:c r="G290" s="50" t="n">
        <x:v>45992.010416666664</x:v>
      </x:c>
      <x:c r="H290" s="35" t="str">
        <x:v>下次换仓边界（非必然全卖）</x:v>
      </x:c>
      <x:c r="I290" s="53" t="n">
        <x:v>0.1</x:v>
      </x:c>
      <x:c r="J290" s="54" t="n">
        <x:v>382.9195755540555</x:v>
      </x:c>
      <x:c r="K290" s="55" t="n">
        <x:f>J290*(E290-D290)</x:f>
        <x:v>2814.4588803223164</x:v>
      </x:c>
    </x:row>
    <x:row r="291" ht="19.5" customHeight="1">
      <x:c r="A291" s="23" t="n">
        <x:v>45962</x:v>
      </x:c>
      <x:c r="B291" s="42" t="str">
        <x:v>H</x:v>
      </x:c>
      <x:c r="C291" s="42" t="str">
        <x:v>续持调仓</x:v>
      </x:c>
      <x:c r="D291" s="51" t="n">
        <x:v>0.29295</x:v>
      </x:c>
      <x:c r="E291" s="51" t="n">
        <x:v>0.11656</x:v>
      </x:c>
      <x:c r="F291" s="24" t="n">
        <x:f>E291/D291-1</x:f>
        <x:v>-0.602116402116402</x:v>
      </x:c>
      <x:c r="G291" s="52" t="n">
        <x:v>45992.010416666664</x:v>
      </x:c>
      <x:c r="H291" s="42" t="str">
        <x:v>下次换仓边界（非必然全卖）</x:v>
      </x:c>
      <x:c r="I291" s="56" t="n">
        <x:v>0.1</x:v>
      </x:c>
      <x:c r="J291" s="57" t="n">
        <x:v>527669.579980941</x:v>
      </x:c>
      <x:c r="K291" s="58" t="n">
        <x:f>J291*(E291-D291)</x:f>
        <x:v>-93075.63721283818</x:v>
      </x:c>
    </x:row>
    <x:row r="292" ht="19.5" customHeight="1">
      <x:c r="A292" s="18" t="n">
        <x:v>45962</x:v>
      </x:c>
      <x:c r="B292" s="35" t="str">
        <x:v>UB</x:v>
      </x:c>
      <x:c r="C292" s="35" t="str">
        <x:v>新买入</x:v>
      </x:c>
      <x:c r="D292" s="49" t="n">
        <x:v>0.07717</x:v>
      </x:c>
      <x:c r="E292" s="49" t="n">
        <x:v>0.04374</x:v>
      </x:c>
      <x:c r="F292" s="19" t="n">
        <x:f>E292/D292-1</x:f>
        <x:v>-0.43319942983024495</x:v>
      </x:c>
      <x:c r="G292" s="50" t="n">
        <x:v>45992.010416666664</x:v>
      </x:c>
      <x:c r="H292" s="35" t="str">
        <x:v>下次换仓边界（非必然全卖）</x:v>
      </x:c>
      <x:c r="I292" s="53" t="n">
        <x:v>0.1</x:v>
      </x:c>
      <x:c r="J292" s="54" t="n">
        <x:v>2003120.4283454278</x:v>
      </x:c>
      <x:c r="K292" s="55" t="n">
        <x:f>J292*(E292-D292)</x:f>
        <x:v>-66964.31591958765</x:v>
      </x:c>
    </x:row>
    <x:row r="293" ht="19.5" customHeight="1">
      <x:c r="A293" s="23" t="n">
        <x:v>45962</x:v>
      </x:c>
      <x:c r="B293" s="42" t="str">
        <x:v>JELLYJELLY</x:v>
      </x:c>
      <x:c r="C293" s="42" t="str">
        <x:v>续持调仓</x:v>
      </x:c>
      <x:c r="D293" s="51" t="n">
        <x:v>0.13033</x:v>
      </x:c>
      <x:c r="E293" s="51" t="n">
        <x:v>0.03625</x:v>
      </x:c>
      <x:c r="F293" s="24" t="n">
        <x:f>E293/D293-1</x:f>
        <x:v>-0.721859894114939</x:v>
      </x:c>
      <x:c r="G293" s="52" t="n">
        <x:v>45992.010416666664</x:v>
      </x:c>
      <x:c r="H293" s="42" t="str">
        <x:v>下次换仓边界（非必然全卖）</x:v>
      </x:c>
      <x:c r="I293" s="56" t="n">
        <x:v>0.1</x:v>
      </x:c>
      <x:c r="J293" s="57" t="n">
        <x:v>1186072.304576204</x:v>
      </x:c>
      <x:c r="K293" s="58" t="n">
        <x:f>J293*(E293-D293)</x:f>
        <x:v>-111585.68241452926</x:v>
      </x:c>
    </x:row>
    <x:row r="294" ht="19.5" customHeight="1">
      <x:c r="A294" s="18" t="n">
        <x:v>45962</x:v>
      </x:c>
      <x:c r="B294" s="35" t="str">
        <x:v>ZEREBRO</x:v>
      </x:c>
      <x:c r="C294" s="35" t="str">
        <x:v>新买入</x:v>
      </x:c>
      <x:c r="D294" s="49" t="n">
        <x:v>0.04486</x:v>
      </x:c>
      <x:c r="E294" s="49" t="n">
        <x:v>0.02438</x:v>
      </x:c>
      <x:c r="F294" s="19" t="n">
        <x:f>E294/D294-1</x:f>
        <x:v>-0.45653143111903705</x:v>
      </x:c>
      <x:c r="G294" s="50" t="n">
        <x:v>45992.010416666664</x:v>
      </x:c>
      <x:c r="H294" s="35" t="str">
        <x:v>下次换仓边界（非必然全卖）</x:v>
      </x:c>
      <x:c r="I294" s="53" t="n">
        <x:v>0.1</x:v>
      </x:c>
      <x:c r="J294" s="54" t="n">
        <x:v>3445849.3859878886</x:v>
      </x:c>
      <x:c r="K294" s="55" t="n">
        <x:f>J294*(E294-D294)</x:f>
        <x:v>-70570.99542503196</x:v>
      </x:c>
    </x:row>
    <x:row r="295" ht="19.5" customHeight="1">
      <x:c r="A295" s="23" t="n">
        <x:v>45962</x:v>
      </x:c>
      <x:c r="B295" s="42" t="str">
        <x:v>AIA</x:v>
      </x:c>
      <x:c r="C295" s="42" t="str">
        <x:v>新买入</x:v>
      </x:c>
      <x:c r="D295" s="51" t="n">
        <x:v>1.2002</x:v>
      </x:c>
      <x:c r="E295" s="51" t="n">
        <x:v>0.4008</x:v>
      </x:c>
      <x:c r="F295" s="24" t="n">
        <x:f>E295/D295-1</x:f>
        <x:v>-0.6660556573904349</x:v>
      </x:c>
      <x:c r="G295" s="52" t="n">
        <x:v>45992.010416666664</x:v>
      </x:c>
      <x:c r="H295" s="42" t="str">
        <x:v>下次换仓边界（非必然全卖）</x:v>
      </x:c>
      <x:c r="I295" s="56" t="n">
        <x:v>0.1</x:v>
      </x:c>
      <x:c r="J295" s="57" t="n">
        <x:v>128795.87023447482</x:v>
      </x:c>
      <x:c r="K295" s="58" t="n">
        <x:f>J295*(E295-D295)</x:f>
        <x:v>-102959.41866543915</x:v>
      </x:c>
    </x:row>
    <x:row r="296" ht="19.5" customHeight="1">
      <x:c r="A296" s="18" t="n">
        <x:v>45962</x:v>
      </x:c>
      <x:c r="B296" s="35" t="str">
        <x:v>DASH</x:v>
      </x:c>
      <x:c r="C296" s="35" t="str">
        <x:v>新买入</x:v>
      </x:c>
      <x:c r="D296" s="49" t="n">
        <x:v>53.66</x:v>
      </x:c>
      <x:c r="E296" s="49" t="n">
        <x:v>51.83</x:v>
      </x:c>
      <x:c r="F296" s="19" t="n">
        <x:f>E296/D296-1</x:f>
        <x:v>-0.03410361535594486</x:v>
      </x:c>
      <x:c r="G296" s="50" t="n">
        <x:v>45992.010416666664</x:v>
      </x:c>
      <x:c r="H296" s="35" t="str">
        <x:v>下次换仓边界（非必然全卖）</x:v>
      </x:c>
      <x:c r="I296" s="53" t="n">
        <x:v>0.1</x:v>
      </x:c>
      <x:c r="J296" s="54" t="n">
        <x:v>2880.745498610076</x:v>
      </x:c>
      <x:c r="K296" s="55" t="n">
        <x:f>J296*(E296-D296)</x:f>
        <x:v>-5271.764262456434</x:v>
      </x:c>
    </x:row>
    <x:row r="297" ht="19.5" customHeight="1">
      <x:c r="A297" s="23" t="n">
        <x:v>45962</x:v>
      </x:c>
      <x:c r="B297" s="42" t="str">
        <x:v>LIGHT</x:v>
      </x:c>
      <x:c r="C297" s="42" t="str">
        <x:v>新买入</x:v>
      </x:c>
      <x:c r="D297" s="51" t="n">
        <x:v>1.9301</x:v>
      </x:c>
      <x:c r="E297" s="51" t="n">
        <x:v>1.1089</x:v>
      </x:c>
      <x:c r="F297" s="24" t="n">
        <x:f>E297/D297-1</x:f>
        <x:v>-0.42547018289207816</x:v>
      </x:c>
      <x:c r="G297" s="52" t="n">
        <x:v>45992.010416666664</x:v>
      </x:c>
      <x:c r="H297" s="42" t="str">
        <x:v>下次换仓边界（非必然全卖）</x:v>
      </x:c>
      <x:c r="I297" s="56" t="n">
        <x:v>0.1</x:v>
      </x:c>
      <x:c r="J297" s="57" t="n">
        <x:v>80089.53083022468</x:v>
      </x:c>
      <x:c r="K297" s="58" t="n">
        <x:f>J297*(E297-D297)</x:f>
        <x:v>-65769.5227177805</x:v>
      </x:c>
    </x:row>
    <x:row r="298" ht="19.5" customHeight="1">
      <x:c r="A298" s="18" t="n">
        <x:v>45992</x:v>
      </x:c>
      <x:c r="B298" s="35" t="str">
        <x:v>PIPPIN</x:v>
      </x:c>
      <x:c r="C298" s="35" t="str">
        <x:v>新买入</x:v>
      </x:c>
      <x:c r="D298" s="49" t="n">
        <x:v>0.14594</x:v>
      </x:c>
      <x:c r="E298" s="49" t="n">
        <x:v>0.38968</x:v>
      </x:c>
      <x:c r="F298" s="19" t="n">
        <x:f>E298/D298-1</x:f>
        <x:v>1.670138413046458</x:v>
      </x:c>
      <x:c r="G298" s="50" t="n">
        <x:v>46023.010416666664</x:v>
      </x:c>
      <x:c r="H298" s="35" t="str">
        <x:v>下次换仓边界（非必然全卖）</x:v>
      </x:c>
      <x:c r="I298" s="53" t="n">
        <x:v>0.1</x:v>
      </x:c>
      <x:c r="J298" s="54" t="n">
        <x:v>559718.1298123124</x:v>
      </x:c>
      <x:c r="K298" s="55" t="n">
        <x:f>J298*(E298-D298)</x:f>
        <x:v>136425.69696045306</x:v>
      </x:c>
    </x:row>
    <x:row r="299" ht="19.5" customHeight="1">
      <x:c r="A299" s="23" t="n">
        <x:v>45992</x:v>
      </x:c>
      <x:c r="B299" s="42" t="str">
        <x:v>ARC</x:v>
      </x:c>
      <x:c r="C299" s="42" t="str">
        <x:v>新买入</x:v>
      </x:c>
      <x:c r="D299" s="51" t="n">
        <x:v>0.05121</x:v>
      </x:c>
      <x:c r="E299" s="51" t="n">
        <x:v>0.03537</x:v>
      </x:c>
      <x:c r="F299" s="24" t="n">
        <x:f>E299/D299-1</x:f>
        <x:v>-0.3093145869947276</x:v>
      </x:c>
      <x:c r="G299" s="52" t="n">
        <x:v>46023.010416666664</x:v>
      </x:c>
      <x:c r="H299" s="42" t="str">
        <x:v>下次换仓边界（非必然全卖）</x:v>
      </x:c>
      <x:c r="I299" s="56" t="n">
        <x:v>0.1</x:v>
      </x:c>
      <x:c r="J299" s="57" t="n">
        <x:v>1595103.766155221</x:v>
      </x:c>
      <x:c r="K299" s="58" t="n">
        <x:f>J299*(E299-D299)</x:f>
        <x:v>-25266.4436558987</x:v>
      </x:c>
    </x:row>
    <x:row r="300" ht="19.5" customHeight="1">
      <x:c r="A300" s="18" t="n">
        <x:v>45992</x:v>
      </x:c>
      <x:c r="B300" s="35" t="str">
        <x:v>TNSR</x:v>
      </x:c>
      <x:c r="C300" s="35" t="str">
        <x:v>新买入</x:v>
      </x:c>
      <x:c r="D300" s="49" t="n">
        <x:v>0.13362</x:v>
      </x:c>
      <x:c r="E300" s="49" t="n">
        <x:v>0.07849</x:v>
      </x:c>
      <x:c r="F300" s="19" t="n">
        <x:f>E300/D300-1</x:f>
        <x:v>-0.4125879359377338</x:v>
      </x:c>
      <x:c r="G300" s="50" t="n">
        <x:v>46023.010416666664</x:v>
      </x:c>
      <x:c r="H300" s="35" t="str">
        <x:v>下次换仓边界（非必然全卖）</x:v>
      </x:c>
      <x:c r="I300" s="53" t="n">
        <x:v>0.1</x:v>
      </x:c>
      <x:c r="J300" s="54" t="n">
        <x:v>611325.1299566597</x:v>
      </x:c>
      <x:c r="K300" s="55" t="n">
        <x:f>J300*(E300-D300)</x:f>
        <x:v>-33702.35441451064</x:v>
      </x:c>
    </x:row>
    <x:row r="301" ht="19.5" customHeight="1">
      <x:c r="A301" s="23" t="n">
        <x:v>45992</x:v>
      </x:c>
      <x:c r="B301" s="42" t="str">
        <x:v>ALCH</x:v>
      </x:c>
      <x:c r="C301" s="42" t="str">
        <x:v>新买入</x:v>
      </x:c>
      <x:c r="D301" s="51" t="n">
        <x:v>0.16254</x:v>
      </x:c>
      <x:c r="E301" s="51" t="n">
        <x:v>0.13472</x:v>
      </x:c>
      <x:c r="F301" s="24" t="n">
        <x:f>E301/D301-1</x:f>
        <x:v>-0.17115786883228734</x:v>
      </x:c>
      <x:c r="G301" s="52" t="n">
        <x:v>46023.010416666664</x:v>
      </x:c>
      <x:c r="H301" s="42" t="str">
        <x:v>下次换仓边界（非必然全卖）</x:v>
      </x:c>
      <x:c r="I301" s="56" t="n">
        <x:v>0.1</x:v>
      </x:c>
      <x:c r="J301" s="57" t="n">
        <x:v>502554.8410533337</x:v>
      </x:c>
      <x:c r="K301" s="58" t="n">
        <x:f>J301*(E301-D301)</x:f>
        <x:v>-13981.075678103736</x:v>
      </x:c>
    </x:row>
    <x:row r="302" ht="19.5" customHeight="1">
      <x:c r="A302" s="18" t="n">
        <x:v>45992</x:v>
      </x:c>
      <x:c r="B302" s="35" t="str">
        <x:v>ESPORTS</x:v>
      </x:c>
      <x:c r="C302" s="35" t="str">
        <x:v>新买入</x:v>
      </x:c>
      <x:c r="D302" s="49" t="n">
        <x:v>0.44962</x:v>
      </x:c>
      <x:c r="E302" s="49" t="n">
        <x:v>0.40252</x:v>
      </x:c>
      <x:c r="F302" s="19" t="n">
        <x:f>E302/D302-1</x:f>
        <x:v>-0.10475512655131003</x:v>
      </x:c>
      <x:c r="G302" s="50" t="n">
        <x:v>46023.010416666664</x:v>
      </x:c>
      <x:c r="H302" s="35" t="str">
        <x:v>下次换仓边界（非必然全卖）</x:v>
      </x:c>
      <x:c r="I302" s="53" t="n">
        <x:v>0.1</x:v>
      </x:c>
      <x:c r="J302" s="54" t="n">
        <x:v>181676.22406656478</x:v>
      </x:c>
      <x:c r="K302" s="55" t="n">
        <x:f>J302*(E302-D302)</x:f>
        <x:v>-8556.950153535206</x:v>
      </x:c>
    </x:row>
    <x:row r="303" ht="19.5" customHeight="1">
      <x:c r="A303" s="23" t="n">
        <x:v>45992</x:v>
      </x:c>
      <x:c r="B303" s="42" t="str">
        <x:v>TRADOOR</x:v>
      </x:c>
      <x:c r="C303" s="42" t="str">
        <x:v>新买入</x:v>
      </x:c>
      <x:c r="D303" s="51" t="n">
        <x:v>4.331</x:v>
      </x:c>
      <x:c r="E303" s="51" t="n">
        <x:v>1.534</x:v>
      </x:c>
      <x:c r="F303" s="24" t="n">
        <x:f>E303/D303-1</x:f>
        <x:v>-0.6458092819210344</x:v>
      </x:c>
      <x:c r="G303" s="52" t="n">
        <x:v>46023.010416666664</x:v>
      </x:c>
      <x:c r="H303" s="42" t="str">
        <x:v>下次换仓边界（非必然全卖）</x:v>
      </x:c>
      <x:c r="I303" s="56" t="n">
        <x:v>0.1</x:v>
      </x:c>
      <x:c r="J303" s="57" t="n">
        <x:v>18860.601215610448</x:v>
      </x:c>
      <x:c r="K303" s="58" t="n">
        <x:f>J303*(E303-D303)</x:f>
        <x:v>-52753.10160006244</x:v>
      </x:c>
    </x:row>
    <x:row r="304" ht="19.5" customHeight="1">
      <x:c r="A304" s="18" t="n">
        <x:v>45992</x:v>
      </x:c>
      <x:c r="B304" s="35" t="str">
        <x:v>BAT</x:v>
      </x:c>
      <x:c r="C304" s="35" t="str">
        <x:v>新买入</x:v>
      </x:c>
      <x:c r="D304" s="49" t="n">
        <x:v>0.2693</x:v>
      </x:c>
      <x:c r="E304" s="49" t="n">
        <x:v>0.2067</x:v>
      </x:c>
      <x:c r="F304" s="19" t="n">
        <x:f>E304/D304-1</x:f>
        <x:v>-0.23245451169699216</x:v>
      </x:c>
      <x:c r="G304" s="50" t="n">
        <x:v>46023.010416666664</x:v>
      </x:c>
      <x:c r="H304" s="35" t="str">
        <x:v>下次换仓边界（非必然全卖）</x:v>
      </x:c>
      <x:c r="I304" s="53" t="n">
        <x:v>0.1</x:v>
      </x:c>
      <x:c r="J304" s="54" t="n">
        <x:v>303324.41093504964</x:v>
      </x:c>
      <x:c r="K304" s="55" t="n">
        <x:f>J304*(E304-D304)</x:f>
        <x:v>-18988.108124534105</x:v>
      </x:c>
    </x:row>
    <x:row r="305" ht="19.5" customHeight="1">
      <x:c r="A305" s="23" t="n">
        <x:v>45992</x:v>
      </x:c>
      <x:c r="B305" s="42" t="str">
        <x:v>PARTI</x:v>
      </x:c>
      <x:c r="C305" s="42" t="str">
        <x:v>新买入</x:v>
      </x:c>
      <x:c r="D305" s="51" t="n">
        <x:v>0.10687</x:v>
      </x:c>
      <x:c r="E305" s="51" t="n">
        <x:v>0.10107</x:v>
      </x:c>
      <x:c r="F305" s="24" t="n">
        <x:f>E305/D305-1</x:f>
        <x:v>-0.05427154486759622</x:v>
      </x:c>
      <x:c r="G305" s="52" t="n">
        <x:v>46023.010416666664</x:v>
      </x:c>
      <x:c r="H305" s="42" t="str">
        <x:v>下次换仓边界（非必然全卖）</x:v>
      </x:c>
      <x:c r="I305" s="56" t="n">
        <x:v>0.1</x:v>
      </x:c>
      <x:c r="J305" s="57" t="n">
        <x:v>764342.3211828283</x:v>
      </x:c>
      <x:c r="K305" s="58" t="n">
        <x:f>J305*(E305-D305)</x:f>
        <x:v>-4433.185462860414</x:v>
      </x:c>
    </x:row>
    <x:row r="306" ht="19.5" customHeight="1">
      <x:c r="A306" s="18" t="n">
        <x:v>45992</x:v>
      </x:c>
      <x:c r="B306" s="35" t="str">
        <x:v>BDXN</x:v>
      </x:c>
      <x:c r="C306" s="35" t="str">
        <x:v>新买入</x:v>
      </x:c>
      <x:c r="D306" s="49" t="n">
        <x:v>0.04745</x:v>
      </x:c>
      <x:c r="E306" s="49" t="n">
        <x:v>0.01442</x:v>
      </x:c>
      <x:c r="F306" s="19" t="n">
        <x:f>E306/D306-1</x:f>
        <x:v>-0.6961011591148577</x:v>
      </x:c>
      <x:c r="G306" s="50" t="n">
        <x:v>46023.010416666664</x:v>
      </x:c>
      <x:c r="H306" s="35" t="str">
        <x:v>下次换仓边界（非必然全卖）</x:v>
      </x:c>
      <x:c r="I306" s="53" t="n">
        <x:v>0.1</x:v>
      </x:c>
      <x:c r="J306" s="54" t="n">
        <x:v>1721501.8728094597</x:v>
      </x:c>
      <x:c r="K306" s="55" t="n">
        <x:f>J306*(E306-D306)</x:f>
        <x:v>-56861.20685889645</x:v>
      </x:c>
    </x:row>
    <x:row r="307" ht="19.5" customHeight="1">
      <x:c r="A307" s="23" t="n">
        <x:v>45992</x:v>
      </x:c>
      <x:c r="B307" s="42" t="str">
        <x:v>TRUTH</x:v>
      </x:c>
      <x:c r="C307" s="42" t="str">
        <x:v>新买入</x:v>
      </x:c>
      <x:c r="D307" s="51" t="n">
        <x:v>0.019665</x:v>
      </x:c>
      <x:c r="E307" s="51" t="n">
        <x:v>0.009782</x:v>
      </x:c>
      <x:c r="F307" s="24" t="n">
        <x:f>E307/D307-1</x:f>
        <x:v>-0.5025680142384947</x:v>
      </x:c>
      <x:c r="G307" s="52" t="n">
        <x:v>46023.010416666664</x:v>
      </x:c>
      <x:c r="H307" s="42" t="str">
        <x:v>下次换仓边界（非必然全卖）</x:v>
      </x:c>
      <x:c r="I307" s="56" t="n">
        <x:v>0.1</x:v>
      </x:c>
      <x:c r="J307" s="57" t="n">
        <x:v>4153840.0134659987</x:v>
      </x:c>
      <x:c r="K307" s="58" t="n">
        <x:f>J307*(E307-D307)</x:f>
        <x:v>-41052.40085308446</x:v>
      </x:c>
    </x:row>
    <x:row r="308" ht="19.5" customHeight="1">
      <x:c r="A308" s="18" t="n">
        <x:v>46023</x:v>
      </x:c>
      <x:c r="B308" s="35" t="str">
        <x:v>Q</x:v>
      </x:c>
      <x:c r="C308" s="35" t="str">
        <x:v>新买入</x:v>
      </x:c>
      <x:c r="D308" s="49" t="n">
        <x:v>0.016639</x:v>
      </x:c>
      <x:c r="E308" s="49" t="n">
        <x:v>0.018295</x:v>
      </x:c>
      <x:c r="F308" s="19" t="n">
        <x:f>E308/D308-1</x:f>
        <x:v>0.09952521185167362</x:v>
      </x:c>
      <x:c r="G308" s="50" t="n">
        <x:v>46054.010416666664</x:v>
      </x:c>
      <x:c r="H308" s="35" t="str">
        <x:v>下次换仓边界（非必然全卖）</x:v>
      </x:c>
      <x:c r="I308" s="53" t="n">
        <x:v>0.1</x:v>
      </x:c>
      <x:c r="J308" s="54" t="n">
        <x:v>4182506.8411793085</x:v>
      </x:c>
      <x:c r="K308" s="55" t="n">
        <x:f>J308*(E308-D308)</x:f>
        <x:v>6926.231328992925</x:v>
      </x:c>
    </x:row>
    <x:row r="309" ht="19.5" customHeight="1">
      <x:c r="A309" s="23" t="n">
        <x:v>46023</x:v>
      </x:c>
      <x:c r="B309" s="42" t="str">
        <x:v>RIVER</x:v>
      </x:c>
      <x:c r="C309" s="42" t="str">
        <x:v>新买入</x:v>
      </x:c>
      <x:c r="D309" s="51" t="n">
        <x:v>11.204</x:v>
      </x:c>
      <x:c r="E309" s="51" t="n">
        <x:v>26.068</x:v>
      </x:c>
      <x:c r="F309" s="24" t="n">
        <x:f>E309/D309-1</x:f>
        <x:v>1.3266690467690112</x:v>
      </x:c>
      <x:c r="G309" s="52" t="n">
        <x:v>46054.010416666664</x:v>
      </x:c>
      <x:c r="H309" s="42" t="str">
        <x:v>下次换仓边界（非必然全卖）</x:v>
      </x:c>
      <x:c r="I309" s="56" t="n">
        <x:v>0.1</x:v>
      </x:c>
      <x:c r="J309" s="57" t="n">
        <x:v>6211.418362226215</x:v>
      </x:c>
      <x:c r="K309" s="58" t="n">
        <x:f>J309*(E309-D309)</x:f>
        <x:v>92326.52253613048</x:v>
      </x:c>
    </x:row>
    <x:row r="310" ht="19.5" customHeight="1">
      <x:c r="A310" s="18" t="n">
        <x:v>46023</x:v>
      </x:c>
      <x:c r="B310" s="35" t="str">
        <x:v>PIPPIN</x:v>
      </x:c>
      <x:c r="C310" s="35" t="str">
        <x:v>续持调仓</x:v>
      </x:c>
      <x:c r="D310" s="49" t="n">
        <x:v>0.38968</x:v>
      </x:c>
      <x:c r="E310" s="49" t="n">
        <x:v>0.18953</x:v>
      </x:c>
      <x:c r="F310" s="19" t="n">
        <x:f>E310/D310-1</x:f>
        <x:v>-0.5136265653869843</x:v>
      </x:c>
      <x:c r="G310" s="50" t="n">
        <x:v>46054.010416666664</x:v>
      </x:c>
      <x:c r="H310" s="35" t="str">
        <x:v>下次换仓边界（非必然全卖）</x:v>
      </x:c>
      <x:c r="I310" s="53" t="n">
        <x:v>0.1</x:v>
      </x:c>
      <x:c r="J310" s="54" t="n">
        <x:v>178589.4357687911</x:v>
      </x:c>
      <x:c r="K310" s="55" t="n">
        <x:f>J310*(E310-D310)</x:f>
        <x:v>-35744.675569123545</x:v>
      </x:c>
    </x:row>
    <x:row r="311" ht="19.5" customHeight="1">
      <x:c r="A311" s="23" t="n">
        <x:v>46023</x:v>
      </x:c>
      <x:c r="B311" s="42" t="str">
        <x:v>LYN</x:v>
      </x:c>
      <x:c r="C311" s="42" t="str">
        <x:v>新买入</x:v>
      </x:c>
      <x:c r="D311" s="51" t="n">
        <x:v>0.15608</x:v>
      </x:c>
      <x:c r="E311" s="51" t="n">
        <x:v>0.11663</x:v>
      </x:c>
      <x:c r="F311" s="24" t="n">
        <x:f>E311/D311-1</x:f>
        <x:v>-0.25275499743721164</x:v>
      </x:c>
      <x:c r="G311" s="52" t="n">
        <x:v>46054.010416666664</x:v>
      </x:c>
      <x:c r="H311" s="42" t="str">
        <x:v>下次换仓边界（非必然全卖）</x:v>
      </x:c>
      <x:c r="I311" s="56" t="n">
        <x:v>0.1</x:v>
      </x:c>
      <x:c r="J311" s="57" t="n">
        <x:v>445878.59642736113</x:v>
      </x:c>
      <x:c r="K311" s="58" t="n">
        <x:f>J311*(E311-D311)</x:f>
        <x:v>-17589.910629059395</x:v>
      </x:c>
    </x:row>
    <x:row r="312" ht="19.5" customHeight="1">
      <x:c r="A312" s="18" t="n">
        <x:v>46023</x:v>
      </x:c>
      <x:c r="B312" s="35" t="str">
        <x:v>FHE</x:v>
      </x:c>
      <x:c r="C312" s="35" t="str">
        <x:v>新买入</x:v>
      </x:c>
      <x:c r="D312" s="49" t="n">
        <x:v>0.03626</x:v>
      </x:c>
      <x:c r="E312" s="49" t="n">
        <x:v>0.15882</x:v>
      </x:c>
      <x:c r="F312" s="19" t="n">
        <x:f>E312/D312-1</x:f>
        <x:v>3.380033094318808</x:v>
      </x:c>
      <x:c r="G312" s="50" t="n">
        <x:v>46054.010416666664</x:v>
      </x:c>
      <x:c r="H312" s="35" t="str">
        <x:v>下次换仓边界（非必然全卖）</x:v>
      </x:c>
      <x:c r="I312" s="53" t="n">
        <x:v>0.1</x:v>
      </x:c>
      <x:c r="J312" s="54" t="n">
        <x:v>1919270.0311743664</x:v>
      </x:c>
      <x:c r="K312" s="55" t="n">
        <x:f>J312*(E312-D312)</x:f>
        <x:v>235225.73502073032</x:v>
      </x:c>
    </x:row>
    <x:row r="313" ht="19.5" customHeight="1">
      <x:c r="A313" s="23" t="n">
        <x:v>46023</x:v>
      </x:c>
      <x:c r="B313" s="42" t="str">
        <x:v>SKYAI</x:v>
      </x:c>
      <x:c r="C313" s="42" t="str">
        <x:v>新买入</x:v>
      </x:c>
      <x:c r="D313" s="51" t="n">
        <x:v>0.03798</x:v>
      </x:c>
      <x:c r="E313" s="51" t="n">
        <x:v>0.0422</x:v>
      </x:c>
      <x:c r="F313" s="24" t="n">
        <x:f>E313/D313-1</x:f>
        <x:v>0.11111111111111116</x:v>
      </x:c>
      <x:c r="G313" s="52" t="n">
        <x:v>46054.010416666664</x:v>
      </x:c>
      <x:c r="H313" s="42" t="str">
        <x:v>下次换仓边界（非必然全卖）</x:v>
      </x:c>
      <x:c r="I313" s="56" t="n">
        <x:v>0.1</x:v>
      </x:c>
      <x:c r="J313" s="57" t="n">
        <x:v>1832352.0624113355</x:v>
      </x:c>
      <x:c r="K313" s="58" t="n">
        <x:f>J313*(E313-D313)</x:f>
        <x:v>7732.525703375839</x:v>
      </x:c>
    </x:row>
    <x:row r="314" ht="19.5" customHeight="1">
      <x:c r="A314" s="18" t="n">
        <x:v>46023</x:v>
      </x:c>
      <x:c r="B314" s="35" t="str">
        <x:v>CC</x:v>
      </x:c>
      <x:c r="C314" s="35" t="str">
        <x:v>新买入</x:v>
      </x:c>
      <x:c r="D314" s="49" t="n">
        <x:v>0.15147</x:v>
      </x:c>
      <x:c r="E314" s="49" t="n">
        <x:v>0.18337</x:v>
      </x:c>
      <x:c r="F314" s="19" t="n">
        <x:f>E314/D314-1</x:f>
        <x:v>0.21060275962236763</x:v>
      </x:c>
      <x:c r="G314" s="50" t="n">
        <x:v>46054.010416666664</x:v>
      </x:c>
      <x:c r="H314" s="35" t="str">
        <x:v>下次换仓边界（非必然全卖）</x:v>
      </x:c>
      <x:c r="I314" s="53" t="n">
        <x:v>0.1</x:v>
      </x:c>
      <x:c r="J314" s="54" t="n">
        <x:v>459448.9425654092</x:v>
      </x:c>
      <x:c r="K314" s="55" t="n">
        <x:f>J314*(E314-D314)</x:f>
        <x:v>14656.421267836558</x:v>
      </x:c>
    </x:row>
    <x:row r="315" ht="19.5" customHeight="1">
      <x:c r="A315" s="23" t="n">
        <x:v>46023</x:v>
      </x:c>
      <x:c r="B315" s="42" t="str">
        <x:v>PLAY</x:v>
      </x:c>
      <x:c r="C315" s="42" t="str">
        <x:v>新买入</x:v>
      </x:c>
      <x:c r="D315" s="51" t="n">
        <x:v>0.05235</x:v>
      </x:c>
      <x:c r="E315" s="51" t="n">
        <x:v>0.11791</x:v>
      </x:c>
      <x:c r="F315" s="24" t="n">
        <x:f>E315/D315-1</x:f>
        <x:v>1.252340019102197</x:v>
      </x:c>
      <x:c r="G315" s="52" t="n">
        <x:v>46054.010416666664</x:v>
      </x:c>
      <x:c r="H315" s="42" t="str">
        <x:v>下次换仓边界（非必然全卖）</x:v>
      </x:c>
      <x:c r="I315" s="56" t="n">
        <x:v>0.1</x:v>
      </x:c>
      <x:c r="J315" s="57" t="n">
        <x:v>1329374.046425645</x:v>
      </x:c>
      <x:c r="K315" s="58" t="n">
        <x:f>J315*(E315-D315)</x:f>
        <x:v>87153.7624836653</x:v>
      </x:c>
    </x:row>
    <x:row r="316" ht="19.5" customHeight="1">
      <x:c r="A316" s="18" t="n">
        <x:v>46023</x:v>
      </x:c>
      <x:c r="B316" s="35" t="str">
        <x:v>ICNT</x:v>
      </x:c>
      <x:c r="C316" s="35" t="str">
        <x:v>新买入</x:v>
      </x:c>
      <x:c r="D316" s="49" t="n">
        <x:v>0.4958</x:v>
      </x:c>
      <x:c r="E316" s="49" t="n">
        <x:v>0.3755</x:v>
      </x:c>
      <x:c r="F316" s="19" t="n">
        <x:f>E316/D316-1</x:f>
        <x:v>-0.24263816054860832</x:v>
      </x:c>
      <x:c r="G316" s="50" t="n">
        <x:v>46054.010416666664</x:v>
      </x:c>
      <x:c r="H316" s="35" t="str">
        <x:v>下次换仓边界（非必然全卖）</x:v>
      </x:c>
      <x:c r="I316" s="53" t="n">
        <x:v>0.1</x:v>
      </x:c>
      <x:c r="J316" s="54" t="n">
        <x:v>140364.52466797605</x:v>
      </x:c>
      <x:c r="K316" s="55" t="n">
        <x:f>J316*(E316-D316)</x:f>
        <x:v>-16885.85231755752</x:v>
      </x:c>
    </x:row>
    <x:row r="317" ht="19.5" customHeight="1">
      <x:c r="A317" s="23" t="n">
        <x:v>46023</x:v>
      </x:c>
      <x:c r="B317" s="42" t="str">
        <x:v>JELLYJELLY</x:v>
      </x:c>
      <x:c r="C317" s="42" t="str">
        <x:v>新买入</x:v>
      </x:c>
      <x:c r="D317" s="51" t="n">
        <x:v>0.06093</x:v>
      </x:c>
      <x:c r="E317" s="51" t="n">
        <x:v>0.05762</x:v>
      </x:c>
      <x:c r="F317" s="24" t="n">
        <x:f>E317/D317-1</x:f>
        <x:v>-0.05432463482685046</x:v>
      </x:c>
      <x:c r="G317" s="52" t="n">
        <x:v>46054.010416666664</x:v>
      </x:c>
      <x:c r="H317" s="42" t="str">
        <x:v>下次换仓边界（非必然全卖）</x:v>
      </x:c>
      <x:c r="I317" s="56" t="n">
        <x:v>0.1</x:v>
      </x:c>
      <x:c r="J317" s="57" t="n">
        <x:v>1142175.1408236094</x:v>
      </x:c>
      <x:c r="K317" s="58" t="n">
        <x:f>J317*(E317-D317)</x:f>
        <x:v>-3780.5997161261475</x:v>
      </x:c>
    </x:row>
    <x:row r="318" ht="19.5" customHeight="1">
      <x:c r="A318" s="18" t="n">
        <x:v>46054</x:v>
      </x:c>
      <x:c r="B318" s="35" t="str">
        <x:v>BULLA</x:v>
      </x:c>
      <x:c r="C318" s="35" t="str">
        <x:v>新买入</x:v>
      </x:c>
      <x:c r="D318" s="49" t="n">
        <x:v>0.29475</x:v>
      </x:c>
      <x:c r="E318" s="49" t="n">
        <x:v>0.02294</x:v>
      </x:c>
      <x:c r="F318" s="19" t="n">
        <x:f>E318/D318-1</x:f>
        <x:v>-0.9221713316369805</x:v>
      </x:c>
      <x:c r="G318" s="50" t="n">
        <x:v>46082.010416666664</x:v>
      </x:c>
      <x:c r="H318" s="35" t="str">
        <x:v>下次换仓边界（非必然全卖）</x:v>
      </x:c>
      <x:c r="I318" s="53" t="n">
        <x:v>0.1</x:v>
      </x:c>
      <x:c r="J318" s="54" t="n">
        <x:v>360936.1783524762</x:v>
      </x:c>
      <x:c r="K318" s="55" t="n">
        <x:f>J318*(E318-D318)</x:f>
        <x:v>-98106.06263798656</x:v>
      </x:c>
    </x:row>
    <x:row r="319" ht="19.5" customHeight="1">
      <x:c r="A319" s="23" t="n">
        <x:v>46054</x:v>
      </x:c>
      <x:c r="B319" s="42" t="str">
        <x:v>BTR</x:v>
      </x:c>
      <x:c r="C319" s="42" t="str">
        <x:v>新买入</x:v>
      </x:c>
      <x:c r="D319" s="51" t="n">
        <x:v>0.1407</x:v>
      </x:c>
      <x:c r="E319" s="51" t="n">
        <x:v>0.18062</x:v>
      </x:c>
      <x:c r="F319" s="24" t="n">
        <x:f>E319/D319-1</x:f>
        <x:v>0.2837242359630421</x:v>
      </x:c>
      <x:c r="G319" s="52" t="n">
        <x:v>46082.010416666664</x:v>
      </x:c>
      <x:c r="H319" s="42" t="str">
        <x:v>下次换仓边界（非必然全卖）</x:v>
      </x:c>
      <x:c r="I319" s="56" t="n">
        <x:v>0.1</x:v>
      </x:c>
      <x:c r="J319" s="57" t="n">
        <x:v>756118.9663780553</x:v>
      </x:c>
      <x:c r="K319" s="58" t="n">
        <x:f>J319*(E319-D319)</x:f>
        <x:v>30184.269137811974</x:v>
      </x:c>
    </x:row>
    <x:row r="320" ht="19.5" customHeight="1">
      <x:c r="A320" s="18" t="n">
        <x:v>46054</x:v>
      </x:c>
      <x:c r="B320" s="35" t="str">
        <x:v>FHE</x:v>
      </x:c>
      <x:c r="C320" s="35" t="str">
        <x:v>续持调仓</x:v>
      </x:c>
      <x:c r="D320" s="49" t="n">
        <x:v>0.15882</x:v>
      </x:c>
      <x:c r="E320" s="49" t="n">
        <x:v>0.02907</x:v>
      </x:c>
      <x:c r="F320" s="19" t="n">
        <x:f>E320/D320-1</x:f>
        <x:v>-0.8169625991688705</x:v>
      </x:c>
      <x:c r="G320" s="50" t="n">
        <x:v>46082.010416666664</x:v>
      </x:c>
      <x:c r="H320" s="35" t="str">
        <x:v>下次换仓边界（非必然全卖）</x:v>
      </x:c>
      <x:c r="I320" s="53" t="n">
        <x:v>0.1</x:v>
      </x:c>
      <x:c r="J320" s="54" t="n">
        <x:v>669852.2765986172</x:v>
      </x:c>
      <x:c r="K320" s="55" t="n">
        <x:f>J320*(E320-D320)</x:f>
        <x:v>-86913.33288867057</x:v>
      </x:c>
    </x:row>
    <x:row r="321" ht="19.5" customHeight="1">
      <x:c r="A321" s="23" t="n">
        <x:v>46054</x:v>
      </x:c>
      <x:c r="B321" s="42" t="str">
        <x:v>GUN</x:v>
      </x:c>
      <x:c r="C321" s="42" t="str">
        <x:v>新买入</x:v>
      </x:c>
      <x:c r="D321" s="51" t="n">
        <x:v>0.02983</x:v>
      </x:c>
      <x:c r="E321" s="51" t="n">
        <x:v>0.02658</x:v>
      </x:c>
      <x:c r="F321" s="24" t="n">
        <x:f>E321/D321-1</x:f>
        <x:v>-0.10895072075092183</x:v>
      </x:c>
      <x:c r="G321" s="52" t="n">
        <x:v>46082.010416666664</x:v>
      </x:c>
      <x:c r="H321" s="42" t="str">
        <x:v>下次换仓边界（非必然全卖）</x:v>
      </x:c>
      <x:c r="I321" s="56" t="n">
        <x:v>0.1</x:v>
      </x:c>
      <x:c r="J321" s="57" t="n">
        <x:v>3566407.5953534152</x:v>
      </x:c>
      <x:c r="K321" s="58" t="n">
        <x:f>J321*(E321-D321)</x:f>
        <x:v>-11590.824684898598</x:v>
      </x:c>
    </x:row>
    <x:row r="322" ht="19.5" customHeight="1">
      <x:c r="A322" s="18" t="n">
        <x:v>46054</x:v>
      </x:c>
      <x:c r="B322" s="35" t="str">
        <x:v>HANA</x:v>
      </x:c>
      <x:c r="C322" s="35" t="str">
        <x:v>新买入</x:v>
      </x:c>
      <x:c r="D322" s="49" t="n">
        <x:v>0.02964</x:v>
      </x:c>
      <x:c r="E322" s="49" t="n">
        <x:v>0.03467</x:v>
      </x:c>
      <x:c r="F322" s="19" t="n">
        <x:f>E322/D322-1</x:f>
        <x:v>0.1697031039136303</x:v>
      </x:c>
      <x:c r="G322" s="50" t="n">
        <x:v>46082.010416666664</x:v>
      </x:c>
      <x:c r="H322" s="35" t="str">
        <x:v>下次换仓边界（非必然全卖）</x:v>
      </x:c>
      <x:c r="I322" s="53" t="n">
        <x:v>0.1</x:v>
      </x:c>
      <x:c r="J322" s="54" t="n">
        <x:v>3589269.1825031163</x:v>
      </x:c>
      <x:c r="K322" s="55" t="n">
        <x:f>J322*(E322-D322)</x:f>
        <x:v>18054.023987990673</x:v>
      </x:c>
    </x:row>
    <x:row r="323" ht="19.5" customHeight="1">
      <x:c r="A323" s="23" t="n">
        <x:v>46054</x:v>
      </x:c>
      <x:c r="B323" s="42" t="str">
        <x:v>RIVER</x:v>
      </x:c>
      <x:c r="C323" s="42" t="str">
        <x:v>续持调仓</x:v>
      </x:c>
      <x:c r="D323" s="51" t="n">
        <x:v>26.068</x:v>
      </x:c>
      <x:c r="E323" s="51" t="n">
        <x:v>12.647</x:v>
      </x:c>
      <x:c r="F323" s="24" t="n">
        <x:f>E323/D323-1</x:f>
        <x:v>-0.5148457879392359</x:v>
      </x:c>
      <x:c r="G323" s="52" t="n">
        <x:v>46082.010416666664</x:v>
      </x:c>
      <x:c r="H323" s="42" t="str">
        <x:v>下次换仓边界（非必然全卖）</x:v>
      </x:c>
      <x:c r="I323" s="56" t="n">
        <x:v>0.1</x:v>
      </x:c>
      <x:c r="J323" s="57" t="n">
        <x:v>4081.0932395808027</x:v>
      </x:c>
      <x:c r="K323" s="58" t="n">
        <x:f>J323*(E323-D323)</x:f>
        <x:v>-54772.35236841396</x:v>
      </x:c>
    </x:row>
    <x:row r="324" ht="19.5" customHeight="1">
      <x:c r="A324" s="18" t="n">
        <x:v>46054</x:v>
      </x:c>
      <x:c r="B324" s="35" t="str">
        <x:v>DUSK</x:v>
      </x:c>
      <x:c r="C324" s="35" t="str">
        <x:v>新买入</x:v>
      </x:c>
      <x:c r="D324" s="49" t="n">
        <x:v>0.10826</x:v>
      </x:c>
      <x:c r="E324" s="49" t="n">
        <x:v>0.08346</x:v>
      </x:c>
      <x:c r="F324" s="19" t="n">
        <x:f>E324/D324-1</x:f>
        <x:v>-0.22907814520598546</x:v>
      </x:c>
      <x:c r="G324" s="50" t="n">
        <x:v>46082.010416666664</x:v>
      </x:c>
      <x:c r="H324" s="35" t="str">
        <x:v>下次换仓边界（非必然全卖）</x:v>
      </x:c>
      <x:c r="I324" s="53" t="n">
        <x:v>0.1</x:v>
      </x:c>
      <x:c r="J324" s="54" t="n">
        <x:v>982689.2533659004</x:v>
      </x:c>
      <x:c r="K324" s="55" t="n">
        <x:f>J324*(E324-D324)</x:f>
        <x:v>-24370.69348347432</x:v>
      </x:c>
    </x:row>
    <x:row r="325" ht="19.5" customHeight="1">
      <x:c r="A325" s="23" t="n">
        <x:v>46054</x:v>
      </x:c>
      <x:c r="B325" s="42" t="str">
        <x:v>SYN</x:v>
      </x:c>
      <x:c r="C325" s="42" t="str">
        <x:v>新买入</x:v>
      </x:c>
      <x:c r="D325" s="51" t="n">
        <x:v>0.11119</x:v>
      </x:c>
      <x:c r="E325" s="51" t="n">
        <x:v>0.04951</x:v>
      </x:c>
      <x:c r="F325" s="24" t="n">
        <x:f>E325/D325-1</x:f>
        <x:v>-0.5547261444374494</x:v>
      </x:c>
      <x:c r="G325" s="52" t="n">
        <x:v>46082.010416666664</x:v>
      </x:c>
      <x:c r="H325" s="42" t="str">
        <x:v>下次换仓边界（非必然全卖）</x:v>
      </x:c>
      <x:c r="I325" s="56" t="n">
        <x:v>0.1</x:v>
      </x:c>
      <x:c r="J325" s="57" t="n">
        <x:v>956794.1232969905</x:v>
      </x:c>
      <x:c r="K325" s="58" t="n">
        <x:f>J325*(E325-D325)</x:f>
        <x:v>-59015.06152495837</x:v>
      </x:c>
    </x:row>
    <x:row r="326" ht="19.5" customHeight="1">
      <x:c r="A326" s="18" t="n">
        <x:v>46054</x:v>
      </x:c>
      <x:c r="B326" s="35" t="str">
        <x:v>AXS</x:v>
      </x:c>
      <x:c r="C326" s="35" t="str">
        <x:v>新买入</x:v>
      </x:c>
      <x:c r="D326" s="49" t="n">
        <x:v>1.842</x:v>
      </x:c>
      <x:c r="E326" s="49" t="n">
        <x:v>1.314</x:v>
      </x:c>
      <x:c r="F326" s="19" t="n">
        <x:f>E326/D326-1</x:f>
        <x:v>-0.28664495114006516</x:v>
      </x:c>
      <x:c r="G326" s="50" t="n">
        <x:v>46082.010416666664</x:v>
      </x:c>
      <x:c r="H326" s="35" t="str">
        <x:v>下次换仓边界（非必然全卖）</x:v>
      </x:c>
      <x:c r="I326" s="53" t="n">
        <x:v>0.1</x:v>
      </x:c>
      <x:c r="J326" s="54" t="n">
        <x:v>57755.666975783046</x:v>
      </x:c>
      <x:c r="K326" s="55" t="n">
        <x:f>J326*(E326-D326)</x:f>
        <x:v>-30494.99216321345</x:v>
      </x:c>
    </x:row>
    <x:row r="327" ht="19.5" customHeight="1">
      <x:c r="A327" s="23" t="n">
        <x:v>46054</x:v>
      </x:c>
      <x:c r="B327" s="42" t="str">
        <x:v>PLAY</x:v>
      </x:c>
      <x:c r="C327" s="42" t="str">
        <x:v>续持调仓</x:v>
      </x:c>
      <x:c r="D327" s="51" t="n">
        <x:v>0.11791</x:v>
      </x:c>
      <x:c r="E327" s="51" t="n">
        <x:v>0.01923</x:v>
      </x:c>
      <x:c r="F327" s="24" t="n">
        <x:f>E327/D327-1</x:f>
        <x:v>-0.8369095072512933</x:v>
      </x:c>
      <x:c r="G327" s="52" t="n">
        <x:v>46082.010416666664</x:v>
      </x:c>
      <x:c r="H327" s="42" t="str">
        <x:v>下次换仓边界（非必然全卖）</x:v>
      </x:c>
      <x:c r="I327" s="56" t="n">
        <x:v>0.1</x:v>
      </x:c>
      <x:c r="J327" s="57" t="n">
        <x:v>902263.9179831428</x:v>
      </x:c>
      <x:c r="K327" s="58" t="n">
        <x:f>J327*(E327-D327)</x:f>
        <x:v>-89035.40342657654</x:v>
      </x:c>
    </x:row>
    <x:row r="328" ht="19.5" customHeight="1">
      <x:c r="A328" s="18" t="n">
        <x:v>46082</x:v>
      </x:c>
      <x:c r="B328" s="35" t="str">
        <x:v>POWER</x:v>
      </x:c>
      <x:c r="C328" s="35" t="str">
        <x:v>新买入</x:v>
      </x:c>
      <x:c r="D328" s="49" t="n">
        <x:v>1.92379</x:v>
      </x:c>
      <x:c r="E328" s="49" t="n">
        <x:v>0.08019</x:v>
      </x:c>
      <x:c r="F328" s="19" t="n">
        <x:f>E328/D328-1</x:f>
        <x:v>-0.9583166561838871</x:v>
      </x:c>
      <x:c r="G328" s="50" t="n">
        <x:v>46113.010416666664</x:v>
      </x:c>
      <x:c r="H328" s="35" t="str">
        <x:v>下次换仓边界（非必然全卖）</x:v>
      </x:c>
      <x:c r="I328" s="53" t="n">
        <x:v>0.1</x:v>
      </x:c>
      <x:c r="J328" s="54" t="n">
        <x:v>34097.26079939547</x:v>
      </x:c>
      <x:c r="K328" s="55" t="n">
        <x:f>J328*(E328-D328)</x:f>
        <x:v>-62861.71000976549</x:v>
      </x:c>
    </x:row>
    <x:row r="329" ht="19.5" customHeight="1">
      <x:c r="A329" s="23" t="n">
        <x:v>46082</x:v>
      </x:c>
      <x:c r="B329" s="42" t="str">
        <x:v>SIREN</x:v>
      </x:c>
      <x:c r="C329" s="42" t="str">
        <x:v>新买入</x:v>
      </x:c>
      <x:c r="D329" s="51" t="n">
        <x:v>0.2783</x:v>
      </x:c>
      <x:c r="E329" s="51" t="n">
        <x:v>0.52905</x:v>
      </x:c>
      <x:c r="F329" s="24" t="n">
        <x:f>E329/D329-1</x:f>
        <x:v>0.9010061085159902</x:v>
      </x:c>
      <x:c r="G329" s="52" t="n">
        <x:v>46113.010416666664</x:v>
      </x:c>
      <x:c r="H329" s="42" t="str">
        <x:v>下次换仓边界（非必然全卖）</x:v>
      </x:c>
      <x:c r="I329" s="56" t="n">
        <x:v>0.1</x:v>
      </x:c>
      <x:c r="J329" s="57" t="n">
        <x:v>235702.3692176393</x:v>
      </x:c>
      <x:c r="K329" s="58" t="n">
        <x:f>J329*(E329-D329)</x:f>
        <x:v>59102.36908132306</x:v>
      </x:c>
    </x:row>
    <x:row r="330" ht="19.5" customHeight="1">
      <x:c r="A330" s="18" t="n">
        <x:v>46082</x:v>
      </x:c>
      <x:c r="B330" s="35" t="str">
        <x:v>PIPPIN</x:v>
      </x:c>
      <x:c r="C330" s="35" t="str">
        <x:v>新买入</x:v>
      </x:c>
      <x:c r="D330" s="49" t="n">
        <x:v>0.59786</x:v>
      </x:c>
      <x:c r="E330" s="49" t="n">
        <x:v>0.04865</x:v>
      </x:c>
      <x:c r="F330" s="19" t="n">
        <x:f>E330/D330-1</x:f>
        <x:v>-0.9186264342822734</x:v>
      </x:c>
      <x:c r="G330" s="50" t="n">
        <x:v>46113.010416666664</x:v>
      </x:c>
      <x:c r="H330" s="35" t="str">
        <x:v>下次换仓边界（非必然全卖）</x:v>
      </x:c>
      <x:c r="I330" s="53" t="n">
        <x:v>0.1</x:v>
      </x:c>
      <x:c r="J330" s="54" t="n">
        <x:v>109717.94291852444</x:v>
      </x:c>
      <x:c r="K330" s="55" t="n">
        <x:f>J330*(E330-D330)</x:f>
        <x:v>-60258.1914302828</x:v>
      </x:c>
    </x:row>
    <x:row r="331" ht="19.5" customHeight="1">
      <x:c r="A331" s="23" t="n">
        <x:v>46082</x:v>
      </x:c>
      <x:c r="B331" s="42" t="str">
        <x:v>VVV</x:v>
      </x:c>
      <x:c r="C331" s="42" t="str">
        <x:v>新买入</x:v>
      </x:c>
      <x:c r="D331" s="51" t="n">
        <x:v>5.401</x:v>
      </x:c>
      <x:c r="E331" s="51" t="n">
        <x:v>6.575</x:v>
      </x:c>
      <x:c r="F331" s="24" t="n">
        <x:f>E331/D331-1</x:f>
        <x:v>0.21736715423069808</x:v>
      </x:c>
      <x:c r="G331" s="52" t="n">
        <x:v>46113.010416666664</x:v>
      </x:c>
      <x:c r="H331" s="42" t="str">
        <x:v>下次换仓边界（非必然全卖）</x:v>
      </x:c>
      <x:c r="I331" s="56" t="n">
        <x:v>0.1</x:v>
      </x:c>
      <x:c r="J331" s="57" t="n">
        <x:v>12145.152629748012</x:v>
      </x:c>
      <x:c r="K331" s="58" t="n">
        <x:f>J331*(E331-D331)</x:f>
        <x:v>14258.40918732417</x:v>
      </x:c>
    </x:row>
    <x:row r="332" ht="19.5" customHeight="1">
      <x:c r="A332" s="18" t="n">
        <x:v>46082</x:v>
      </x:c>
      <x:c r="B332" s="35" t="str">
        <x:v>LYN</x:v>
      </x:c>
      <x:c r="C332" s="35" t="str">
        <x:v>新买入</x:v>
      </x:c>
      <x:c r="D332" s="49" t="n">
        <x:v>0.26318</x:v>
      </x:c>
      <x:c r="E332" s="49" t="n">
        <x:v>0.04588</x:v>
      </x:c>
      <x:c r="F332" s="19" t="n">
        <x:f>E332/D332-1</x:f>
        <x:v>-0.8256706436659321</x:v>
      </x:c>
      <x:c r="G332" s="50" t="n">
        <x:v>46113.010416666664</x:v>
      </x:c>
      <x:c r="H332" s="35" t="str">
        <x:v>下次换仓边界（非必然全卖）</x:v>
      </x:c>
      <x:c r="I332" s="53" t="n">
        <x:v>0.1</x:v>
      </x:c>
      <x:c r="J332" s="54" t="n">
        <x:v>249243.74706766853</x:v>
      </x:c>
      <x:c r="K332" s="55" t="n">
        <x:f>J332*(E332-D332)</x:f>
        <x:v>-54160.66623780438</x:v>
      </x:c>
    </x:row>
    <x:row r="333" ht="19.5" customHeight="1">
      <x:c r="A333" s="23" t="n">
        <x:v>46082</x:v>
      </x:c>
      <x:c r="B333" s="42" t="str">
        <x:v>KITE</x:v>
      </x:c>
      <x:c r="C333" s="42" t="str">
        <x:v>新买入</x:v>
      </x:c>
      <x:c r="D333" s="51" t="n">
        <x:v>0.26076</x:v>
      </x:c>
      <x:c r="E333" s="51" t="n">
        <x:v>0.15395</x:v>
      </x:c>
      <x:c r="F333" s="24" t="n">
        <x:f>E333/D333-1</x:f>
        <x:v>-0.40961036968860254</x:v>
      </x:c>
      <x:c r="G333" s="52" t="n">
        <x:v>46113.010416666664</x:v>
      </x:c>
      <x:c r="H333" s="42" t="str">
        <x:v>下次换仓边界（非必然全卖）</x:v>
      </x:c>
      <x:c r="I333" s="56" t="n">
        <x:v>0.1</x:v>
      </x:c>
      <x:c r="J333" s="57" t="n">
        <x:v>251556.8697394885</x:v>
      </x:c>
      <x:c r="K333" s="58" t="n">
        <x:f>J333*(E333-D333)</x:f>
        <x:v>-26868.789256874763</x:v>
      </x:c>
    </x:row>
    <x:row r="334" ht="19.5" customHeight="1">
      <x:c r="A334" s="18" t="n">
        <x:v>46082</x:v>
      </x:c>
      <x:c r="B334" s="35" t="str">
        <x:v>ALLO</x:v>
      </x:c>
      <x:c r="C334" s="35" t="str">
        <x:v>新买入</x:v>
      </x:c>
      <x:c r="D334" s="49" t="n">
        <x:v>0.11048</x:v>
      </x:c>
      <x:c r="E334" s="49" t="n">
        <x:v>0.10489</x:v>
      </x:c>
      <x:c r="F334" s="19" t="n">
        <x:f>E334/D334-1</x:f>
        <x:v>-0.050597393193338114</x:v>
      </x:c>
      <x:c r="G334" s="50" t="n">
        <x:v>46113.010416666664</x:v>
      </x:c>
      <x:c r="H334" s="35" t="str">
        <x:v>下次换仓边界（非必然全卖）</x:v>
      </x:c>
      <x:c r="I334" s="53" t="n">
        <x:v>0.1</x:v>
      </x:c>
      <x:c r="J334" s="54" t="n">
        <x:v>593736.1454857804</x:v>
      </x:c>
      <x:c r="K334" s="55" t="n">
        <x:f>J334*(E334-D334)</x:f>
        <x:v>-3318.9850532655114</x:v>
      </x:c>
    </x:row>
    <x:row r="335" ht="19.5" customHeight="1">
      <x:c r="A335" s="23" t="n">
        <x:v>46082</x:v>
      </x:c>
      <x:c r="B335" s="42" t="str">
        <x:v>BARD</x:v>
      </x:c>
      <x:c r="C335" s="42" t="str">
        <x:v>新买入</x:v>
      </x:c>
      <x:c r="D335" s="51" t="n">
        <x:v>1.0113</x:v>
      </x:c>
      <x:c r="E335" s="51" t="n">
        <x:v>0.349</x:v>
      </x:c>
      <x:c r="F335" s="24" t="n">
        <x:f>E335/D335-1</x:f>
        <x:v>-0.6548996341342826</x:v>
      </x:c>
      <x:c r="G335" s="52" t="n">
        <x:v>46113.010416666664</x:v>
      </x:c>
      <x:c r="H335" s="42" t="str">
        <x:v>下次换仓边界（非必然全卖）</x:v>
      </x:c>
      <x:c r="I335" s="56" t="n">
        <x:v>0.1</x:v>
      </x:c>
      <x:c r="J335" s="57" t="n">
        <x:v>64863.01725825077</x:v>
      </x:c>
      <x:c r="K335" s="58" t="n">
        <x:f>J335*(E335-D335)</x:f>
        <x:v>-42958.776330139495</x:v>
      </x:c>
    </x:row>
    <x:row r="336" ht="19.5" customHeight="1">
      <x:c r="A336" s="18" t="n">
        <x:v>46082</x:v>
      </x:c>
      <x:c r="B336" s="35" t="str">
        <x:v>DENT</x:v>
      </x:c>
      <x:c r="C336" s="35" t="str">
        <x:v>新买入</x:v>
      </x:c>
      <x:c r="D336" s="49" t="n">
        <x:v>0.000258</x:v>
      </x:c>
      <x:c r="E336" s="49" t="n">
        <x:v>0.000175</x:v>
      </x:c>
      <x:c r="F336" s="19" t="n">
        <x:f>E336/D336-1</x:f>
        <x:v>-0.32170542635658916</x:v>
      </x:c>
      <x:c r="G336" s="50" t="n">
        <x:v>46113.010416666664</x:v>
      </x:c>
      <x:c r="H336" s="35" t="str">
        <x:v>下次换仓边界（非必然全卖）</x:v>
      </x:c>
      <x:c r="I336" s="53" t="n">
        <x:v>0.1</x:v>
      </x:c>
      <x:c r="J336" s="54" t="n">
        <x:v>254247943.22972488</x:v>
      </x:c>
      <x:c r="K336" s="55" t="n">
        <x:f>J336*(E336-D336)</x:f>
        <x:v>-21102.57928806716</x:v>
      </x:c>
    </x:row>
    <x:row r="337" ht="19.5" customHeight="1">
      <x:c r="A337" s="23" t="n">
        <x:v>46082</x:v>
      </x:c>
      <x:c r="B337" s="42" t="str">
        <x:v>MORPHO</x:v>
      </x:c>
      <x:c r="C337" s="42" t="str">
        <x:v>新买入</x:v>
      </x:c>
      <x:c r="D337" s="51" t="n">
        <x:v>1.7585</x:v>
      </x:c>
      <x:c r="E337" s="51" t="n">
        <x:v>1.5406</x:v>
      </x:c>
      <x:c r="F337" s="24" t="n">
        <x:f>E337/D337-1</x:f>
        <x:v>-0.12391242536252489</x:v>
      </x:c>
      <x:c r="G337" s="52" t="n">
        <x:v>46113.010416666664</x:v>
      </x:c>
      <x:c r="H337" s="42" t="str">
        <x:v>下次换仓边界（非必然全卖）</x:v>
      </x:c>
      <x:c r="I337" s="56" t="n">
        <x:v>0.1</x:v>
      </x:c>
      <x:c r="J337" s="57" t="n">
        <x:v>37302.22880481605</x:v>
      </x:c>
      <x:c r="K337" s="58" t="n">
        <x:f>J337*(E337-D337)</x:f>
        <x:v>-8128.155656569416</x:v>
      </x:c>
    </x:row>
    <x:row r="338" ht="19.5" customHeight="1">
      <x:c r="A338" s="18" t="n">
        <x:v>46113</x:v>
      </x:c>
      <x:c r="B338" s="35" t="str">
        <x:v>ARIA</x:v>
      </x:c>
      <x:c r="C338" s="35" t="str">
        <x:v>新买入</x:v>
      </x:c>
      <x:c r="D338" s="49" t="n">
        <x:v>0.3362</x:v>
      </x:c>
      <x:c r="E338" s="49" t="n">
        <x:v>0.0626</x:v>
      </x:c>
      <x:c r="F338" s="19" t="n">
        <x:f>E338/D338-1</x:f>
        <x:v>-0.8138013087447947</x:v>
      </x:c>
      <x:c r="G338" s="50" t="n">
        <x:v>46143.010416666664</x:v>
      </x:c>
      <x:c r="H338" s="35" t="str">
        <x:v>下次换仓边界（非必然全卖）</x:v>
      </x:c>
      <x:c r="I338" s="53" t="n">
        <x:v>0.1</x:v>
      </x:c>
      <x:c r="J338" s="54" t="n">
        <x:v>133411.87877685684</x:v>
      </x:c>
      <x:c r="K338" s="55" t="n">
        <x:f>J338*(E338-D338)</x:f>
        <x:v>-36501.49003334803</x:v>
      </x:c>
    </x:row>
    <x:row r="339" ht="19.5" customHeight="1">
      <x:c r="A339" s="23" t="n">
        <x:v>46113</x:v>
      </x:c>
      <x:c r="B339" s="42" t="str">
        <x:v>STO</x:v>
      </x:c>
      <x:c r="C339" s="42" t="str">
        <x:v>新买入</x:v>
      </x:c>
      <x:c r="D339" s="51" t="n">
        <x:v>0.19613</x:v>
      </x:c>
      <x:c r="E339" s="51" t="n">
        <x:v>0.0885</x:v>
      </x:c>
      <x:c r="F339" s="24" t="n">
        <x:f>E339/D339-1</x:f>
        <x:v>-0.5487686738387805</x:v>
      </x:c>
      <x:c r="G339" s="52" t="n">
        <x:v>46143.010416666664</x:v>
      </x:c>
      <x:c r="H339" s="42" t="str">
        <x:v>下次换仓边界（非必然全卖）</x:v>
      </x:c>
      <x:c r="I339" s="56" t="n">
        <x:v>0.1</x:v>
      </x:c>
      <x:c r="J339" s="57" t="n">
        <x:v>228690.5299789898</x:v>
      </x:c>
      <x:c r="K339" s="58" t="n">
        <x:f>J339*(E339-D339)</x:f>
        <x:v>-24613.96174163867</x:v>
      </x:c>
    </x:row>
    <x:row r="340" ht="19.5" customHeight="1">
      <x:c r="A340" s="18" t="n">
        <x:v>46113</x:v>
      </x:c>
      <x:c r="B340" s="35" t="str">
        <x:v>BANANAS31</x:v>
      </x:c>
      <x:c r="C340" s="35" t="str">
        <x:v>新买入</x:v>
      </x:c>
      <x:c r="D340" s="49" t="n">
        <x:v>0.013123</x:v>
      </x:c>
      <x:c r="E340" s="49" t="n">
        <x:v>0.009754</x:v>
      </x:c>
      <x:c r="F340" s="19" t="n">
        <x:f>E340/D340-1</x:f>
        <x:v>-0.25672483426045867</x:v>
      </x:c>
      <x:c r="G340" s="50" t="n">
        <x:v>46143.010416666664</x:v>
      </x:c>
      <x:c r="H340" s="35" t="str">
        <x:v>下次换仓边界（非必然全卖）</x:v>
      </x:c>
      <x:c r="I340" s="53" t="n">
        <x:v>0.1</x:v>
      </x:c>
      <x:c r="J340" s="54" t="n">
        <x:v>3417897.8621336026</x:v>
      </x:c>
      <x:c r="K340" s="55" t="n">
        <x:f>J340*(E340-D340)</x:f>
        <x:v>-11514.897897528102</x:v>
      </x:c>
    </x:row>
    <x:row r="341" ht="19.5" customHeight="1">
      <x:c r="A341" s="23" t="n">
        <x:v>46113</x:v>
      </x:c>
      <x:c r="B341" s="42" t="str">
        <x:v>PLAY</x:v>
      </x:c>
      <x:c r="C341" s="42" t="str">
        <x:v>新买入</x:v>
      </x:c>
      <x:c r="D341" s="51" t="n">
        <x:v>0.0532</x:v>
      </x:c>
      <x:c r="E341" s="51" t="n">
        <x:v>0.10274</x:v>
      </x:c>
      <x:c r="F341" s="24" t="n">
        <x:f>E341/D341-1</x:f>
        <x:v>0.9312030075187971</x:v>
      </x:c>
      <x:c r="G341" s="52" t="n">
        <x:v>46143.010416666664</x:v>
      </x:c>
      <x:c r="H341" s="42" t="str">
        <x:v>下次换仓边界（非必然全卖）</x:v>
      </x:c>
      <x:c r="I341" s="56" t="n">
        <x:v>0.1</x:v>
      </x:c>
      <x:c r="J341" s="57" t="n">
        <x:v>843102.8880597607</x:v>
      </x:c>
      <x:c r="K341" s="58" t="n">
        <x:f>J341*(E341-D341)</x:f>
        <x:v>41767.31707448055</x:v>
      </x:c>
    </x:row>
    <x:row r="342" ht="19.5" customHeight="1">
      <x:c r="A342" s="18" t="n">
        <x:v>46113</x:v>
      </x:c>
      <x:c r="B342" s="35" t="str">
        <x:v>DEXE</x:v>
      </x:c>
      <x:c r="C342" s="35" t="str">
        <x:v>新买入</x:v>
      </x:c>
      <x:c r="D342" s="49" t="n">
        <x:v>7.902</x:v>
      </x:c>
      <x:c r="E342" s="49" t="n">
        <x:v>11.283</x:v>
      </x:c>
      <x:c r="F342" s="19" t="n">
        <x:f>E342/D342-1</x:f>
        <x:v>0.4278663629460895</x:v>
      </x:c>
      <x:c r="G342" s="50" t="n">
        <x:v>46143.010416666664</x:v>
      </x:c>
      <x:c r="H342" s="35" t="str">
        <x:v>下次换仓边界（非必然全卖）</x:v>
      </x:c>
      <x:c r="I342" s="53" t="n">
        <x:v>0.1</x:v>
      </x:c>
      <x:c r="J342" s="54" t="n">
        <x:v>5676.1672544646</x:v>
      </x:c>
      <x:c r="K342" s="55" t="n">
        <x:f>J342*(E342-D342)</x:f>
        <x:v>19191.121487344808</x:v>
      </x:c>
    </x:row>
    <x:row r="343" ht="19.5" customHeight="1">
      <x:c r="A343" s="23" t="n">
        <x:v>46113</x:v>
      </x:c>
      <x:c r="B343" s="42" t="str">
        <x:v>NAORIS</x:v>
      </x:c>
      <x:c r="C343" s="42" t="str">
        <x:v>新买入</x:v>
      </x:c>
      <x:c r="D343" s="51" t="n">
        <x:v>0.06473</x:v>
      </x:c>
      <x:c r="E343" s="51" t="n">
        <x:v>0.13794</x:v>
      </x:c>
      <x:c r="F343" s="24" t="n">
        <x:f>E343/D343-1</x:f>
        <x:v>1.1310057160512903</x:v>
      </x:c>
      <x:c r="G343" s="52" t="n">
        <x:v>46143.010416666664</x:v>
      </x:c>
      <x:c r="H343" s="42" t="str">
        <x:v>下次换仓边界（非必然全卖）</x:v>
      </x:c>
      <x:c r="I343" s="56" t="n">
        <x:v>0.1</x:v>
      </x:c>
      <x:c r="J343" s="57" t="n">
        <x:v>692925.5931527772</x:v>
      </x:c>
      <x:c r="K343" s="58" t="n">
        <x:f>J343*(E343-D343)</x:f>
        <x:v>50729.082674714824</x:v>
      </x:c>
    </x:row>
    <x:row r="344" ht="19.5" customHeight="1">
      <x:c r="A344" s="18" t="n">
        <x:v>46113</x:v>
      </x:c>
      <x:c r="B344" s="35" t="str">
        <x:v>SIREN</x:v>
      </x:c>
      <x:c r="C344" s="35" t="str">
        <x:v>续持调仓</x:v>
      </x:c>
      <x:c r="D344" s="49" t="n">
        <x:v>0.52905</x:v>
      </x:c>
      <x:c r="E344" s="49" t="n">
        <x:v>0.678</x:v>
      </x:c>
      <x:c r="F344" s="19" t="n">
        <x:f>E344/D344-1</x:f>
        <x:v>0.281542387297987</x:v>
      </x:c>
      <x:c r="G344" s="50" t="n">
        <x:v>46143.010416666664</x:v>
      </x:c>
      <x:c r="H344" s="35" t="str">
        <x:v>下次换仓边界（非必然全卖）</x:v>
      </x:c>
      <x:c r="I344" s="53" t="n">
        <x:v>0.1</x:v>
      </x:c>
      <x:c r="J344" s="54" t="n">
        <x:v>84780.40571737882</x:v>
      </x:c>
      <x:c r="K344" s="55" t="n">
        <x:f>J344*(E344-D344)</x:f>
        <x:v>12628.041431603577</x:v>
      </x:c>
    </x:row>
    <x:row r="345" ht="19.5" customHeight="1">
      <x:c r="A345" s="23" t="n">
        <x:v>46113</x:v>
      </x:c>
      <x:c r="B345" s="42" t="str">
        <x:v>BEAT</x:v>
      </x:c>
      <x:c r="C345" s="42" t="str">
        <x:v>新买入</x:v>
      </x:c>
      <x:c r="D345" s="51" t="n">
        <x:v>0.4588</x:v>
      </x:c>
      <x:c r="E345" s="51" t="n">
        <x:v>0.5464</x:v>
      </x:c>
      <x:c r="F345" s="24" t="n">
        <x:f>E345/D345-1</x:f>
        <x:v>0.19093286835222312</x:v>
      </x:c>
      <x:c r="G345" s="52" t="n">
        <x:v>46143.010416666664</x:v>
      </x:c>
      <x:c r="H345" s="42" t="str">
        <x:v>下次换仓边界（非必然全卖）</x:v>
      </x:c>
      <x:c r="I345" s="56" t="n">
        <x:v>0.1</x:v>
      </x:c>
      <x:c r="J345" s="57" t="n">
        <x:v>97761.71239053895</x:v>
      </x:c>
      <x:c r="K345" s="58" t="n">
        <x:f>J345*(E345-D345)</x:f>
        <x:v>8563.926005411213</x:v>
      </x:c>
    </x:row>
    <x:row r="346" ht="19.5" customHeight="1">
      <x:c r="A346" s="18" t="n">
        <x:v>46113</x:v>
      </x:c>
      <x:c r="B346" s="35" t="str">
        <x:v>ARC</x:v>
      </x:c>
      <x:c r="C346" s="35" t="str">
        <x:v>新买入</x:v>
      </x:c>
      <x:c r="D346" s="49" t="n">
        <x:v>0.05399</x:v>
      </x:c>
      <x:c r="E346" s="49" t="n">
        <x:v>0.07574</x:v>
      </x:c>
      <x:c r="F346" s="19" t="n">
        <x:f>E346/D346-1</x:f>
        <x:v>0.4028523800703834</x:v>
      </x:c>
      <x:c r="G346" s="50" t="n">
        <x:v>46143.010416666664</x:v>
      </x:c>
      <x:c r="H346" s="35" t="str">
        <x:v>下次换仓边界（非必然全卖）</x:v>
      </x:c>
      <x:c r="I346" s="53" t="n">
        <x:v>0.1</x:v>
      </x:c>
      <x:c r="J346" s="54" t="n">
        <x:v>830766.3205182304</x:v>
      </x:c>
      <x:c r="K346" s="55" t="n">
        <x:f>J346*(E346-D346)</x:f>
        <x:v>18069.16747127151</x:v>
      </x:c>
    </x:row>
    <x:row r="347" ht="19.5" customHeight="1">
      <x:c r="A347" s="23" t="n">
        <x:v>46113</x:v>
      </x:c>
      <x:c r="B347" s="42" t="str">
        <x:v>ONT</x:v>
      </x:c>
      <x:c r="C347" s="42" t="str">
        <x:v>新买入</x:v>
      </x:c>
      <x:c r="D347" s="51" t="n">
        <x:v>0.0822</x:v>
      </x:c>
      <x:c r="E347" s="51" t="n">
        <x:v>0.0703</x:v>
      </x:c>
      <x:c r="F347" s="24" t="n">
        <x:f>E347/D347-1</x:f>
        <x:v>-0.14476885644768855</x:v>
      </x:c>
      <x:c r="G347" s="52" t="n">
        <x:v>46143.010416666664</x:v>
      </x:c>
      <x:c r="H347" s="42" t="str">
        <x:v>下次换仓边界（非必然全卖）</x:v>
      </x:c>
      <x:c r="I347" s="56" t="n">
        <x:v>0.1</x:v>
      </x:c>
      <x:c r="J347" s="57" t="n">
        <x:v>545657.8302284583</x:v>
      </x:c>
      <x:c r="K347" s="58" t="n">
        <x:f>J347*(E347-D347)</x:f>
        <x:v>-6493.32817971865</x:v>
      </x:c>
    </x:row>
    <x:row r="348" ht="19.5" customHeight="1">
      <x:c r="A348" s="18" t="n">
        <x:v>46143</x:v>
      </x:c>
      <x:c r="B348" s="35" t="str">
        <x:v>AIOT</x:v>
      </x:c>
      <x:c r="C348" s="35" t="str">
        <x:v>新买入</x:v>
      </x:c>
      <x:c r="D348" s="49" t="n">
        <x:v>0.12552</x:v>
      </x:c>
      <x:c r="E348" s="49" t="n">
        <x:v>0.05423</x:v>
      </x:c>
      <x:c r="F348" s="19" t="n">
        <x:f>E348/D348-1</x:f>
        <x:v>-0.56795729764181</x:v>
      </x:c>
      <x:c r="G348" s="50" t="n">
        <x:v>46174.010416666664</x:v>
      </x:c>
      <x:c r="H348" s="35" t="str">
        <x:v>下次换仓边界（非必然全卖）</x:v>
      </x:c>
      <x:c r="I348" s="53" t="n">
        <x:v>0.1</x:v>
      </x:c>
      <x:c r="J348" s="54" t="n">
        <x:v>413400.85698039725</x:v>
      </x:c>
      <x:c r="K348" s="55" t="n">
        <x:f>J348*(E348-D348)</x:f>
        <x:v>-29471.347094132518</x:v>
      </x:c>
    </x:row>
    <x:row r="349" ht="19.5" customHeight="1">
      <x:c r="A349" s="23" t="n">
        <x:v>46143</x:v>
      </x:c>
      <x:c r="B349" s="42" t="str">
        <x:v>币安人生</x:v>
      </x:c>
      <x:c r="C349" s="42" t="str">
        <x:v>新买入</x:v>
      </x:c>
      <x:c r="D349" s="51" t="n">
        <x:v>0.34351</x:v>
      </x:c>
      <x:c r="E349" s="51" t="n">
        <x:v>0.63286</x:v>
      </x:c>
      <x:c r="F349" s="24" t="n">
        <x:f>E349/D349-1</x:f>
        <x:v>0.842333556519461</x:v>
      </x:c>
      <x:c r="G349" s="52" t="n">
        <x:v>46174.010416666664</x:v>
      </x:c>
      <x:c r="H349" s="42" t="str">
        <x:v>下次换仓边界（非必然全卖）</x:v>
      </x:c>
      <x:c r="I349" s="56" t="n">
        <x:v>0.1</x:v>
      </x:c>
      <x:c r="J349" s="57" t="n">
        <x:v>151058.41334511212</x:v>
      </x:c>
      <x:c r="K349" s="58" t="n">
        <x:f>J349*(E349-D349)</x:f>
        <x:v>43708.75190140819</x:v>
      </x:c>
    </x:row>
    <x:row r="350" ht="19.5" customHeight="1">
      <x:c r="A350" s="18" t="n">
        <x:v>46143</x:v>
      </x:c>
      <x:c r="B350" s="35" t="str">
        <x:v>SKYAI</x:v>
      </x:c>
      <x:c r="C350" s="35" t="str">
        <x:v>新买入</x:v>
      </x:c>
      <x:c r="D350" s="49" t="n">
        <x:v>0.36295</x:v>
      </x:c>
      <x:c r="E350" s="49" t="n">
        <x:v>0.17462</x:v>
      </x:c>
      <x:c r="F350" s="19" t="n">
        <x:f>E350/D350-1</x:f>
        <x:v>-0.5188868990219038</x:v>
      </x:c>
      <x:c r="G350" s="50" t="n">
        <x:v>46174.010416666664</x:v>
      </x:c>
      <x:c r="H350" s="35" t="str">
        <x:v>下次换仓边界（非必然全卖）</x:v>
      </x:c>
      <x:c r="I350" s="53" t="n">
        <x:v>0.1</x:v>
      </x:c>
      <x:c r="J350" s="54" t="n">
        <x:v>142967.55908025752</x:v>
      </x:c>
      <x:c r="K350" s="55" t="n">
        <x:f>J350*(E350-D350)</x:f>
        <x:v>-26925.0804015849</x:v>
      </x:c>
    </x:row>
    <x:row r="351" ht="19.5" customHeight="1">
      <x:c r="A351" s="23" t="n">
        <x:v>46143</x:v>
      </x:c>
      <x:c r="B351" s="42" t="str">
        <x:v>TAC</x:v>
      </x:c>
      <x:c r="C351" s="42" t="str">
        <x:v>新买入</x:v>
      </x:c>
      <x:c r="D351" s="51" t="n">
        <x:v>0.018665</x:v>
      </x:c>
      <x:c r="E351" s="51" t="n">
        <x:v>0.017214</x:v>
      </x:c>
      <x:c r="F351" s="24" t="n">
        <x:f>E351/D351-1</x:f>
        <x:v>-0.07773908384677208</x:v>
      </x:c>
      <x:c r="G351" s="52" t="n">
        <x:v>46174.010416666664</x:v>
      </x:c>
      <x:c r="H351" s="42" t="str">
        <x:v>下次换仓边界（非必然全卖）</x:v>
      </x:c>
      <x:c r="I351" s="56" t="n">
        <x:v>0.1</x:v>
      </x:c>
      <x:c r="J351" s="57" t="n">
        <x:v>2780073.6977326255</x:v>
      </x:c>
      <x:c r="K351" s="58" t="n">
        <x:f>J351*(E351-D351)</x:f>
        <x:v>-4033.886935410042</x:v>
      </x:c>
    </x:row>
    <x:row r="352" ht="19.5" customHeight="1">
      <x:c r="A352" s="18" t="n">
        <x:v>46143</x:v>
      </x:c>
      <x:c r="B352" s="35" t="str">
        <x:v>ZEREBRO</x:v>
      </x:c>
      <x:c r="C352" s="35" t="str">
        <x:v>新买入</x:v>
      </x:c>
      <x:c r="D352" s="49" t="n">
        <x:v>0.026216</x:v>
      </x:c>
      <x:c r="E352" s="49" t="n">
        <x:v>0.024265</x:v>
      </x:c>
      <x:c r="F352" s="19" t="n">
        <x:f>E352/D352-1</x:f>
        <x:v>-0.07442020140372296</x:v>
      </x:c>
      <x:c r="G352" s="50" t="n">
        <x:v>46174.010416666664</x:v>
      </x:c>
      <x:c r="H352" s="35" t="str">
        <x:v>下次换仓边界（非必然全卖）</x:v>
      </x:c>
      <x:c r="I352" s="53" t="n">
        <x:v>0.1</x:v>
      </x:c>
      <x:c r="J352" s="54" t="n">
        <x:v>1979328.4852067234</x:v>
      </x:c>
      <x:c r="K352" s="55" t="n">
        <x:f>J352*(E352-D352)</x:f>
        <x:v>-3861.66987463832</x:v>
      </x:c>
    </x:row>
    <x:row r="353" ht="19.5" customHeight="1">
      <x:c r="A353" s="23" t="n">
        <x:v>46143</x:v>
      </x:c>
      <x:c r="B353" s="42" t="str">
        <x:v>LAB</x:v>
      </x:c>
      <x:c r="C353" s="42" t="str">
        <x:v>新买入</x:v>
      </x:c>
      <x:c r="D353" s="51" t="n">
        <x:v>0.6924</x:v>
      </x:c>
      <x:c r="E353" s="51" t="n">
        <x:v>9.5169</x:v>
      </x:c>
      <x:c r="F353" s="24" t="n">
        <x:f>E353/D353-1</x:f>
        <x:v>12.7448006932409</x:v>
      </x:c>
      <x:c r="G353" s="52" t="n">
        <x:v>46174.010416666664</x:v>
      </x:c>
      <x:c r="H353" s="42" t="str">
        <x:v>下次换仓边界（非必然全卖）</x:v>
      </x:c>
      <x:c r="I353" s="56" t="n">
        <x:v>0.1</x:v>
      </x:c>
      <x:c r="J353" s="57" t="n">
        <x:v>74942.33906438397</x:v>
      </x:c>
      <x:c r="K353" s="58" t="n">
        <x:f>J353*(E353-D353)</x:f>
        <x:v>661328.6710736563</x:v>
      </x:c>
    </x:row>
    <x:row r="354" ht="19.5" customHeight="1">
      <x:c r="A354" s="18" t="n">
        <x:v>46143</x:v>
      </x:c>
      <x:c r="B354" s="35" t="str">
        <x:v>BSB</x:v>
      </x:c>
      <x:c r="C354" s="35" t="str">
        <x:v>新买入</x:v>
      </x:c>
      <x:c r="D354" s="49" t="n">
        <x:v>0.62347</x:v>
      </x:c>
      <x:c r="E354" s="49" t="n">
        <x:v>0.33248</x:v>
      </x:c>
      <x:c r="F354" s="19" t="n">
        <x:f>E354/D354-1</x:f>
        <x:v>-0.4667265465860426</x:v>
      </x:c>
      <x:c r="G354" s="50" t="n">
        <x:v>46174.010416666664</x:v>
      </x:c>
      <x:c r="H354" s="35" t="str">
        <x:v>下次换仓边界（非必然全卖）</x:v>
      </x:c>
      <x:c r="I354" s="53" t="n">
        <x:v>0.1</x:v>
      </x:c>
      <x:c r="J354" s="54" t="n">
        <x:v>83227.8627170184</x:v>
      </x:c>
      <x:c r="K354" s="55" t="n">
        <x:f>J354*(E354-D354)</x:f>
        <x:v>-24218.475772025184</x:v>
      </x:c>
    </x:row>
    <x:row r="355" ht="19.5" customHeight="1">
      <x:c r="A355" s="23" t="n">
        <x:v>46143</x:v>
      </x:c>
      <x:c r="B355" s="42" t="str">
        <x:v>ENJ</x:v>
      </x:c>
      <x:c r="C355" s="42" t="str">
        <x:v>新买入</x:v>
      </x:c>
      <x:c r="D355" s="51" t="n">
        <x:v>0.05628</x:v>
      </x:c>
      <x:c r="E355" s="51" t="n">
        <x:v>0.03896</x:v>
      </x:c>
      <x:c r="F355" s="24" t="n">
        <x:f>E355/D355-1</x:f>
        <x:v>-0.3077469793887704</x:v>
      </x:c>
      <x:c r="G355" s="52" t="n">
        <x:v>46174.010416666664</x:v>
      </x:c>
      <x:c r="H355" s="42" t="str">
        <x:v>下次换仓边界（非必然全卖）</x:v>
      </x:c>
      <x:c r="I355" s="56" t="n">
        <x:v>0.1</x:v>
      </x:c>
      <x:c r="J355" s="57" t="n">
        <x:v>921998.4997899692</x:v>
      </x:c>
      <x:c r="K355" s="58" t="n">
        <x:f>J355*(E355-D355)</x:f>
        <x:v>-15969.014016362262</x:v>
      </x:c>
    </x:row>
    <x:row r="356" ht="19.5" customHeight="1">
      <x:c r="A356" s="18" t="n">
        <x:v>46143</x:v>
      </x:c>
      <x:c r="B356" s="35" t="str">
        <x:v>UB</x:v>
      </x:c>
      <x:c r="C356" s="35" t="str">
        <x:v>新买入</x:v>
      </x:c>
      <x:c r="D356" s="49" t="n">
        <x:v>0.06963</x:v>
      </x:c>
      <x:c r="E356" s="49" t="n">
        <x:v>0.19001</x:v>
      </x:c>
      <x:c r="F356" s="19" t="n">
        <x:f>E356/D356-1</x:f>
        <x:v>1.7288525061036912</x:v>
      </x:c>
      <x:c r="G356" s="50" t="n">
        <x:v>46174.010416666664</x:v>
      </x:c>
      <x:c r="H356" s="35" t="str">
        <x:v>下次换仓边界（非必然全卖）</x:v>
      </x:c>
      <x:c r="I356" s="53" t="n">
        <x:v>0.1</x:v>
      </x:c>
      <x:c r="J356" s="54" t="n">
        <x:v>745225.84472468</x:v>
      </x:c>
      <x:c r="K356" s="55" t="n">
        <x:f>J356*(E356-D356)</x:f>
        <x:v>89710.28718795699</x:v>
      </x:c>
    </x:row>
    <x:row r="357" ht="19.5" customHeight="1">
      <x:c r="A357" s="23" t="n">
        <x:v>46143</x:v>
      </x:c>
      <x:c r="B357" s="42" t="str">
        <x:v>SWARMS</x:v>
      </x:c>
      <x:c r="C357" s="42" t="str">
        <x:v>新买入</x:v>
      </x:c>
      <x:c r="D357" s="51" t="n">
        <x:v>0.026736</x:v>
      </x:c>
      <x:c r="E357" s="51" t="n">
        <x:v>0.007278</x:v>
      </x:c>
      <x:c r="F357" s="24" t="n">
        <x:f>E357/D357-1</x:f>
        <x:v>-0.7277827648114901</x:v>
      </x:c>
      <x:c r="G357" s="52" t="n">
        <x:v>46174.010416666664</x:v>
      </x:c>
      <x:c r="H357" s="42" t="str">
        <x:v>下次换仓边界（非必然全卖）</x:v>
      </x:c>
      <x:c r="I357" s="56" t="n">
        <x:v>0.1</x:v>
      </x:c>
      <x:c r="J357" s="57" t="n">
        <x:v>1940831.6714609314</x:v>
      </x:c>
      <x:c r="K357" s="58" t="n">
        <x:f>J357*(E357-D357)</x:f>
        <x:v>-37764.7026632868</x:v>
      </x:c>
    </x:row>
    <x:row r="358" ht="19.5" customHeight="1">
      <x:c r="A358" s="18" t="n">
        <x:v>46174</x:v>
      </x:c>
      <x:c r="B358" s="35" t="str">
        <x:v>LAB</x:v>
      </x:c>
      <x:c r="C358" s="35" t="str">
        <x:v>续持调仓</x:v>
      </x:c>
      <x:c r="D358" s="49" t="n">
        <x:v>9.5169</x:v>
      </x:c>
      <x:c r="E358" s="49" t="n">
        <x:v>13.145</x:v>
      </x:c>
      <x:c r="F358" s="19" t="n">
        <x:f>E358/D358-1</x:f>
        <x:v>0.38122708024671903</x:v>
      </x:c>
      <x:c r="G358" s="50" t="n">
        <x:v>46204.010416666664</x:v>
      </x:c>
      <x:c r="H358" s="35" t="str">
        <x:v>下次换仓边界（非必然全卖）</x:v>
      </x:c>
      <x:c r="I358" s="53" t="n">
        <x:v>0.1</x:v>
      </x:c>
      <x:c r="J358" s="54" t="n">
        <x:v>12281.126687726348</x:v>
      </x:c>
      <x:c r="K358" s="55" t="n">
        <x:f>J358*(E358-D358)</x:f>
        <x:v>44557.15573573996</x:v>
      </x:c>
    </x:row>
    <x:row r="359" ht="19.5" customHeight="1">
      <x:c r="A359" s="23" t="n">
        <x:v>46174</x:v>
      </x:c>
      <x:c r="B359" s="42" t="str">
        <x:v>PORTAL</x:v>
      </x:c>
      <x:c r="C359" s="42" t="str">
        <x:v>新买入</x:v>
      </x:c>
      <x:c r="D359" s="51" t="n">
        <x:v>0.03252</x:v>
      </x:c>
      <x:c r="E359" s="51" t="n">
        <x:v>0.01233</x:v>
      </x:c>
      <x:c r="F359" s="24" t="n">
        <x:f>E359/D359-1</x:f>
        <x:v>-0.6208487084870848</x:v>
      </x:c>
      <x:c r="G359" s="52" t="n">
        <x:v>46204.010416666664</x:v>
      </x:c>
      <x:c r="H359" s="42" t="str">
        <x:v>下次换仓边界（非必然全卖）</x:v>
      </x:c>
      <x:c r="I359" s="56" t="n">
        <x:v>0.1</x:v>
      </x:c>
      <x:c r="J359" s="57" t="n">
        <x:v>3594042.268586189</x:v>
      </x:c>
      <x:c r="K359" s="58" t="n">
        <x:f>J359*(E359-D359)</x:f>
        <x:v>-72563.71340275515</x:v>
      </x:c>
    </x:row>
    <x:row r="360" ht="19.5" customHeight="1">
      <x:c r="A360" s="18" t="n">
        <x:v>46174</x:v>
      </x:c>
      <x:c r="B360" s="35" t="str">
        <x:v>UB</x:v>
      </x:c>
      <x:c r="C360" s="35" t="str">
        <x:v>续持调仓</x:v>
      </x:c>
      <x:c r="D360" s="49" t="n">
        <x:v>0.19001</x:v>
      </x:c>
      <x:c r="E360" s="49" t="n">
        <x:v>0.0947</x:v>
      </x:c>
      <x:c r="F360" s="19" t="n">
        <x:f>E360/D360-1</x:f>
        <x:v>-0.5016051786748066</x:v>
      </x:c>
      <x:c r="G360" s="50" t="n">
        <x:v>46204.010416666664</x:v>
      </x:c>
      <x:c r="H360" s="35" t="str">
        <x:v>下次换仓边界（非必然全卖）</x:v>
      </x:c>
      <x:c r="I360" s="53" t="n">
        <x:v>0.1</x:v>
      </x:c>
      <x:c r="J360" s="54" t="n">
        <x:v>615116.3337425549</x:v>
      </x:c>
      <x:c r="K360" s="55" t="n">
        <x:f>J360*(E360-D360)</x:f>
        <x:v>-58626.73776900291</x:v>
      </x:c>
    </x:row>
    <x:row r="361" ht="19.5" customHeight="1">
      <x:c r="A361" s="23" t="n">
        <x:v>46174</x:v>
      </x:c>
      <x:c r="B361" s="42" t="str">
        <x:v>HOME</x:v>
      </x:c>
      <x:c r="C361" s="42" t="str">
        <x:v>新买入</x:v>
      </x:c>
      <x:c r="D361" s="51" t="n">
        <x:v>0.036812</x:v>
      </x:c>
      <x:c r="E361" s="51" t="n">
        <x:v>0.01731</x:v>
      </x:c>
      <x:c r="F361" s="24" t="n">
        <x:f>E361/D361-1</x:f>
        <x:v>-0.5297729001412583</x:v>
      </x:c>
      <x:c r="G361" s="52" t="n">
        <x:v>46204.010416666664</x:v>
      </x:c>
      <x:c r="H361" s="42" t="str">
        <x:v>下次换仓边界（非必然全卖）</x:v>
      </x:c>
      <x:c r="I361" s="56" t="n">
        <x:v>0.1</x:v>
      </x:c>
      <x:c r="J361" s="57" t="n">
        <x:v>3175004.1990226796</x:v>
      </x:c>
      <x:c r="K361" s="58" t="n">
        <x:f>J361*(E361-D361)</x:f>
        <x:v>-61918.931889340296</x:v>
      </x:c>
    </x:row>
    <x:row r="362" ht="19.5" customHeight="1">
      <x:c r="A362" s="18" t="n">
        <x:v>46174</x:v>
      </x:c>
      <x:c r="B362" s="35" t="str">
        <x:v>H</x:v>
      </x:c>
      <x:c r="C362" s="35" t="str">
        <x:v>新买入</x:v>
      </x:c>
      <x:c r="D362" s="49" t="n">
        <x:v>0.48259</x:v>
      </x:c>
      <x:c r="E362" s="49" t="n">
        <x:v>0.08707</x:v>
      </x:c>
      <x:c r="F362" s="19" t="n">
        <x:f>E362/D362-1</x:f>
        <x:v>-0.8195776953521623</x:v>
      </x:c>
      <x:c r="G362" s="50" t="n">
        <x:v>46204.010416666664</x:v>
      </x:c>
      <x:c r="H362" s="35" t="str">
        <x:v>下次换仓边界（非必然全卖）</x:v>
      </x:c>
      <x:c r="I362" s="53" t="n">
        <x:v>0.1</x:v>
      </x:c>
      <x:c r="J362" s="54" t="n">
        <x:v>242189.54925386532</x:v>
      </x:c>
      <x:c r="K362" s="55" t="n">
        <x:f>J362*(E362-D362)</x:f>
        <x:v>-95790.81052088882</x:v>
      </x:c>
    </x:row>
    <x:row r="363" ht="19.5" customHeight="1">
      <x:c r="A363" s="23" t="n">
        <x:v>46174</x:v>
      </x:c>
      <x:c r="B363" s="42" t="str">
        <x:v>ALLO</x:v>
      </x:c>
      <x:c r="C363" s="42" t="str">
        <x:v>新买入</x:v>
      </x:c>
      <x:c r="D363" s="51" t="n">
        <x:v>0.28869</x:v>
      </x:c>
      <x:c r="E363" s="51" t="n">
        <x:v>0.25248</x:v>
      </x:c>
      <x:c r="F363" s="24" t="n">
        <x:f>E363/D363-1</x:f>
        <x:v>-0.12542866050088342</x:v>
      </x:c>
      <x:c r="G363" s="52" t="n">
        <x:v>46204.010416666664</x:v>
      </x:c>
      <x:c r="H363" s="42" t="str">
        <x:v>下次换仓边界（非必然全卖）</x:v>
      </x:c>
      <x:c r="I363" s="56" t="n">
        <x:v>0.1</x:v>
      </x:c>
      <x:c r="J363" s="57" t="n">
        <x:v>404857.3022079839</x:v>
      </x:c>
      <x:c r="K363" s="58" t="n">
        <x:f>J363*(E363-D363)</x:f>
        <x:v>-14659.882912951105</x:v>
      </x:c>
    </x:row>
    <x:row r="364" ht="19.5" customHeight="1">
      <x:c r="A364" s="18" t="n">
        <x:v>46174</x:v>
      </x:c>
      <x:c r="B364" s="35" t="str">
        <x:v>VVV</x:v>
      </x:c>
      <x:c r="C364" s="35" t="str">
        <x:v>新买入</x:v>
      </x:c>
      <x:c r="D364" s="49" t="n">
        <x:v>18.735</x:v>
      </x:c>
      <x:c r="E364" s="49" t="n">
        <x:v>12.38</x:v>
      </x:c>
      <x:c r="F364" s="19" t="n">
        <x:f>E364/D364-1</x:f>
        <x:v>-0.3392046970910061</x:v>
      </x:c>
      <x:c r="G364" s="50" t="n">
        <x:v>46204.010416666664</x:v>
      </x:c>
      <x:c r="H364" s="35" t="str">
        <x:v>下次换仓边界（非必然全卖）</x:v>
      </x:c>
      <x:c r="I364" s="53" t="n">
        <x:v>0.1</x:v>
      </x:c>
      <x:c r="J364" s="54" t="n">
        <x:v>6238.497708802929</x:v>
      </x:c>
      <x:c r="K364" s="55" t="n">
        <x:f>J364*(E364-D364)</x:f>
        <x:v>-39645.6529394426</x:v>
      </x:c>
    </x:row>
    <x:row r="365" ht="19.5" customHeight="1">
      <x:c r="A365" s="23" t="n">
        <x:v>46174</x:v>
      </x:c>
      <x:c r="B365" s="42" t="str">
        <x:v>BEAT</x:v>
      </x:c>
      <x:c r="C365" s="42" t="str">
        <x:v>新买入</x:v>
      </x:c>
      <x:c r="D365" s="51" t="n">
        <x:v>1.1825</x:v>
      </x:c>
      <x:c r="E365" s="51" t="n">
        <x:v>2.934</x:v>
      </x:c>
      <x:c r="F365" s="24" t="n">
        <x:f>E365/D365-1</x:f>
        <x:v>1.481183932346723</x:v>
      </x:c>
      <x:c r="G365" s="52" t="n">
        <x:v>46204.010416666664</x:v>
      </x:c>
      <x:c r="H365" s="42" t="str">
        <x:v>下次换仓边界（非必然全卖）</x:v>
      </x:c>
      <x:c r="I365" s="56" t="n">
        <x:v>0.1</x:v>
      </x:c>
      <x:c r="J365" s="57" t="n">
        <x:v>98839.9615851356</x:v>
      </x:c>
      <x:c r="K365" s="58" t="n">
        <x:f>J365*(E365-D365)</x:f>
        <x:v>173118.192716365</x:v>
      </x:c>
    </x:row>
    <x:row r="366" ht="19.5" customHeight="1">
      <x:c r="A366" s="18" t="n">
        <x:v>46174</x:v>
      </x:c>
      <x:c r="B366" s="35" t="str">
        <x:v>COLLECT</x:v>
      </x:c>
      <x:c r="C366" s="35" t="str">
        <x:v>新买入</x:v>
      </x:c>
      <x:c r="D366" s="49" t="n">
        <x:v>0.05663</x:v>
      </x:c>
      <x:c r="E366" s="49" t="n">
        <x:v>0.03909</x:v>
      </x:c>
      <x:c r="F366" s="19" t="n">
        <x:f>E366/D366-1</x:f>
        <x:v>-0.30972982518099945</x:v>
      </x:c>
      <x:c r="G366" s="50" t="n">
        <x:v>46204.010416666664</x:v>
      </x:c>
      <x:c r="H366" s="35" t="str">
        <x:v>下次换仓边界（非必然全卖）</x:v>
      </x:c>
      <x:c r="I366" s="53" t="n">
        <x:v>0.1</x:v>
      </x:c>
      <x:c r="J366" s="54" t="n">
        <x:v>2063892.893774022</x:v>
      </x:c>
      <x:c r="K366" s="55" t="n">
        <x:f>J366*(E366-D366)</x:f>
        <x:v>-36200.68135679635</x:v>
      </x:c>
    </x:row>
    <x:row r="367" ht="19.5" customHeight="1">
      <x:c r="A367" s="23" t="n">
        <x:v>46174</x:v>
      </x:c>
      <x:c r="B367" s="42" t="str">
        <x:v>MU</x:v>
      </x:c>
      <x:c r="C367" s="42" t="str">
        <x:v>新买入</x:v>
      </x:c>
      <x:c r="D367" s="51" t="n">
        <x:v>986.25</x:v>
      </x:c>
      <x:c r="E367" s="51" t="n">
        <x:v>1150.96</x:v>
      </x:c>
      <x:c r="F367" s="24" t="n">
        <x:f>E367/D367-1</x:f>
        <x:v>0.16700633713561475</x:v>
      </x:c>
      <x:c r="G367" s="52" t="n">
        <x:v>46204.010416666664</x:v>
      </x:c>
      <x:c r="H367" s="42" t="str">
        <x:v>下次换仓边界（非必然全卖）</x:v>
      </x:c>
      <x:c r="I367" s="56" t="n">
        <x:v>0.1</x:v>
      </x:c>
      <x:c r="J367" s="57" t="n">
        <x:v>118.50773594364803</x:v>
      </x:c>
      <x:c r="K367" s="58" t="n">
        <x:f>J367*(E367-D367)</x:f>
        <x:v>19519.40918727827</x:v>
      </x:c>
    </x:row>
    <x:row r="368">
      <x:c r="A368" s="2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</x:row>
    <x:row r="369">
      <x:c r="A369" s="2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</x:row>
  </x:sheetData>
  <x:conditionalFormatting sqref="F8:F367">
    <x:cfRule type="cellIs" dxfId="2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b3d4af263bb4300"/>
  </x:tableParts>
</x:worksheet>
</file>